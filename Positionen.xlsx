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 activeTab="4"/>
  </bookViews>
  <sheets>
    <sheet name="Ring1" sheetId="1" r:id="rId1"/>
    <sheet name="Ring2" sheetId="2" r:id="rId2"/>
    <sheet name="Ring3" sheetId="4" r:id="rId3"/>
    <sheet name="Tabelle3" sheetId="3" r:id="rId4"/>
    <sheet name="Bogrungen" sheetId="5" r:id="rId5"/>
  </sheets>
  <calcPr calcId="145621"/>
</workbook>
</file>

<file path=xl/calcChain.xml><?xml version="1.0" encoding="utf-8"?>
<calcChain xmlns="http://schemas.openxmlformats.org/spreadsheetml/2006/main">
  <c r="E2" i="5" l="1"/>
  <c r="F2" i="5"/>
  <c r="E3" i="5"/>
  <c r="F3" i="5"/>
  <c r="E4" i="5"/>
  <c r="F4" i="5"/>
  <c r="E5" i="5"/>
  <c r="F5" i="5"/>
  <c r="E6" i="5"/>
  <c r="F6" i="5"/>
  <c r="E7" i="5"/>
  <c r="F7" i="5"/>
  <c r="E8" i="5"/>
  <c r="F8" i="5"/>
  <c r="E9" i="5"/>
  <c r="F9" i="5"/>
  <c r="E10" i="5"/>
  <c r="F10" i="5"/>
  <c r="E11" i="5"/>
  <c r="F11" i="5"/>
  <c r="E12" i="5"/>
  <c r="F12" i="5"/>
  <c r="E13" i="5"/>
  <c r="F13" i="5"/>
  <c r="E14" i="5"/>
  <c r="F14" i="5"/>
  <c r="E15" i="5"/>
  <c r="F15" i="5"/>
  <c r="E16" i="5"/>
  <c r="F16" i="5"/>
  <c r="F1" i="5"/>
  <c r="E1" i="5"/>
  <c r="E60" i="4" l="1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59" i="4"/>
  <c r="F59" i="4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F49" i="2"/>
  <c r="E49" i="2"/>
  <c r="G50" i="2"/>
  <c r="F47" i="1"/>
  <c r="E42" i="1"/>
  <c r="F42" i="1"/>
  <c r="E43" i="1"/>
  <c r="F43" i="1"/>
  <c r="E44" i="1"/>
  <c r="F44" i="1"/>
  <c r="E45" i="1"/>
  <c r="F45" i="1"/>
  <c r="E46" i="1"/>
  <c r="F46" i="1"/>
  <c r="E47" i="1"/>
  <c r="E48" i="1"/>
  <c r="F48" i="1"/>
  <c r="F41" i="1"/>
  <c r="E41" i="1"/>
  <c r="F10" i="4"/>
  <c r="G43" i="4"/>
  <c r="H43" i="4"/>
  <c r="G44" i="4"/>
  <c r="G45" i="4" s="1"/>
  <c r="E4" i="4"/>
  <c r="F4" i="4"/>
  <c r="E5" i="4"/>
  <c r="F5" i="4"/>
  <c r="E6" i="4"/>
  <c r="F6" i="4"/>
  <c r="E7" i="4"/>
  <c r="F7" i="4"/>
  <c r="E8" i="4"/>
  <c r="F8" i="4"/>
  <c r="E9" i="4"/>
  <c r="F9" i="4"/>
  <c r="E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F3" i="4"/>
  <c r="E3" i="4"/>
  <c r="G4" i="4"/>
  <c r="G5" i="4" s="1"/>
  <c r="H3" i="4"/>
  <c r="H45" i="4" l="1"/>
  <c r="G46" i="4"/>
  <c r="H44" i="4"/>
  <c r="H4" i="4"/>
  <c r="G6" i="4"/>
  <c r="H5" i="4"/>
  <c r="H7" i="3"/>
  <c r="D7" i="3"/>
  <c r="C7" i="3"/>
  <c r="G7" i="3" s="1"/>
  <c r="B7" i="3"/>
  <c r="F7" i="3" s="1"/>
  <c r="E35" i="2"/>
  <c r="E36" i="2" s="1"/>
  <c r="E4" i="2"/>
  <c r="E5" i="2" s="1"/>
  <c r="E6" i="2" s="1"/>
  <c r="F3" i="2"/>
  <c r="G47" i="4" l="1"/>
  <c r="H46" i="4"/>
  <c r="G7" i="4"/>
  <c r="H6" i="4"/>
  <c r="E37" i="2"/>
  <c r="F36" i="2"/>
  <c r="F35" i="2"/>
  <c r="F4" i="2"/>
  <c r="F6" i="2"/>
  <c r="E7" i="2"/>
  <c r="F5" i="2"/>
  <c r="F32" i="1"/>
  <c r="F33" i="1"/>
  <c r="F34" i="1"/>
  <c r="F21" i="1"/>
  <c r="F22" i="1"/>
  <c r="F23" i="1"/>
  <c r="F24" i="1"/>
  <c r="F25" i="1"/>
  <c r="F26" i="1"/>
  <c r="F27" i="1"/>
  <c r="F28" i="1"/>
  <c r="F29" i="1"/>
  <c r="F30" i="1"/>
  <c r="F31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6" i="1"/>
  <c r="F3" i="1"/>
  <c r="F4" i="1"/>
  <c r="F5" i="1"/>
  <c r="H47" i="4" l="1"/>
  <c r="G48" i="4"/>
  <c r="G8" i="4"/>
  <c r="H7" i="4"/>
  <c r="E38" i="2"/>
  <c r="F37" i="2"/>
  <c r="E8" i="2"/>
  <c r="F7" i="2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5" i="1"/>
  <c r="E6" i="1" s="1"/>
  <c r="E7" i="1" s="1"/>
  <c r="E8" i="1" s="1"/>
  <c r="E9" i="1" s="1"/>
  <c r="E10" i="1" s="1"/>
  <c r="E11" i="1" s="1"/>
  <c r="E12" i="1" s="1"/>
  <c r="E4" i="1"/>
  <c r="G49" i="4" l="1"/>
  <c r="H48" i="4"/>
  <c r="G9" i="4"/>
  <c r="H8" i="4"/>
  <c r="E39" i="2"/>
  <c r="F38" i="2"/>
  <c r="E9" i="2"/>
  <c r="F8" i="2"/>
  <c r="H49" i="4" l="1"/>
  <c r="G50" i="4"/>
  <c r="H50" i="4" s="1"/>
  <c r="G10" i="4"/>
  <c r="H9" i="4"/>
  <c r="E40" i="2"/>
  <c r="F39" i="2"/>
  <c r="E10" i="2"/>
  <c r="F9" i="2"/>
  <c r="G11" i="4" l="1"/>
  <c r="H10" i="4"/>
  <c r="E41" i="2"/>
  <c r="F40" i="2"/>
  <c r="F10" i="2"/>
  <c r="E11" i="2"/>
  <c r="G12" i="4" l="1"/>
  <c r="H11" i="4"/>
  <c r="E42" i="2"/>
  <c r="F42" i="2" s="1"/>
  <c r="F41" i="2"/>
  <c r="E12" i="2"/>
  <c r="F11" i="2"/>
  <c r="G13" i="4" l="1"/>
  <c r="H12" i="4"/>
  <c r="E13" i="2"/>
  <c r="F12" i="2"/>
  <c r="G14" i="4" l="1"/>
  <c r="H13" i="4"/>
  <c r="E14" i="2"/>
  <c r="F13" i="2"/>
  <c r="G15" i="4" l="1"/>
  <c r="H14" i="4"/>
  <c r="F14" i="2"/>
  <c r="E15" i="2"/>
  <c r="G16" i="4" l="1"/>
  <c r="H15" i="4"/>
  <c r="E16" i="2"/>
  <c r="F15" i="2"/>
  <c r="G17" i="4" l="1"/>
  <c r="H16" i="4"/>
  <c r="E17" i="2"/>
  <c r="F16" i="2"/>
  <c r="G18" i="4" l="1"/>
  <c r="H17" i="4"/>
  <c r="E18" i="2"/>
  <c r="F17" i="2"/>
  <c r="G19" i="4" l="1"/>
  <c r="H18" i="4"/>
  <c r="F18" i="2"/>
  <c r="E19" i="2"/>
  <c r="G20" i="4" l="1"/>
  <c r="H19" i="4"/>
  <c r="E20" i="2"/>
  <c r="F19" i="2"/>
  <c r="G21" i="4" l="1"/>
  <c r="H20" i="4"/>
  <c r="E21" i="2"/>
  <c r="F20" i="2"/>
  <c r="G22" i="4" l="1"/>
  <c r="H21" i="4"/>
  <c r="E22" i="2"/>
  <c r="F21" i="2"/>
  <c r="G23" i="4" l="1"/>
  <c r="H22" i="4"/>
  <c r="F22" i="2"/>
  <c r="E23" i="2"/>
  <c r="G24" i="4" l="1"/>
  <c r="H23" i="4"/>
  <c r="E24" i="2"/>
  <c r="F23" i="2"/>
  <c r="G25" i="4" l="1"/>
  <c r="H24" i="4"/>
  <c r="E25" i="2"/>
  <c r="F24" i="2"/>
  <c r="G26" i="4" l="1"/>
  <c r="H25" i="4"/>
  <c r="E26" i="2"/>
  <c r="F25" i="2"/>
  <c r="G27" i="4" l="1"/>
  <c r="H26" i="4"/>
  <c r="F26" i="2"/>
  <c r="E27" i="2"/>
  <c r="G28" i="4" l="1"/>
  <c r="H27" i="4"/>
  <c r="E28" i="2"/>
  <c r="F27" i="2"/>
  <c r="G29" i="4" l="1"/>
  <c r="H28" i="4"/>
  <c r="E29" i="2"/>
  <c r="F28" i="2"/>
  <c r="G30" i="4" l="1"/>
  <c r="H29" i="4"/>
  <c r="E30" i="2"/>
  <c r="F29" i="2"/>
  <c r="G31" i="4" l="1"/>
  <c r="H30" i="4"/>
  <c r="F30" i="2"/>
  <c r="E31" i="2"/>
  <c r="G32" i="4" l="1"/>
  <c r="H31" i="4"/>
  <c r="E32" i="2"/>
  <c r="F31" i="2"/>
  <c r="G33" i="4" l="1"/>
  <c r="H32" i="4"/>
  <c r="E33" i="2"/>
  <c r="F32" i="2"/>
  <c r="G34" i="4" l="1"/>
  <c r="H33" i="4"/>
  <c r="E34" i="2"/>
  <c r="F34" i="2" s="1"/>
  <c r="F33" i="2"/>
  <c r="G35" i="4" l="1"/>
  <c r="H34" i="4"/>
  <c r="G36" i="4" l="1"/>
  <c r="H35" i="4"/>
  <c r="G37" i="4" l="1"/>
  <c r="H36" i="4"/>
  <c r="G38" i="4" l="1"/>
  <c r="H37" i="4"/>
  <c r="G39" i="4" l="1"/>
  <c r="H38" i="4"/>
  <c r="G40" i="4" l="1"/>
  <c r="H39" i="4"/>
  <c r="G41" i="4" l="1"/>
  <c r="H40" i="4"/>
  <c r="G42" i="4" l="1"/>
  <c r="H42" i="4" s="1"/>
  <c r="H41" i="4"/>
</calcChain>
</file>

<file path=xl/sharedStrings.xml><?xml version="1.0" encoding="utf-8"?>
<sst xmlns="http://schemas.openxmlformats.org/spreadsheetml/2006/main" count="521" uniqueCount="347">
  <si>
    <t>Results</t>
  </si>
  <si>
    <t>270°</t>
  </si>
  <si>
    <t>X = 150.0000</t>
  </si>
  <si>
    <t>Y = 76.8000</t>
  </si>
  <si>
    <t>281.2°</t>
  </si>
  <si>
    <t>X = 154.5261</t>
  </si>
  <si>
    <t>Y = 77.2458</t>
  </si>
  <si>
    <t>292.5°</t>
  </si>
  <si>
    <t>X = 158.8783</t>
  </si>
  <si>
    <t>Y = 78.5660</t>
  </si>
  <si>
    <t>303.8°</t>
  </si>
  <si>
    <t>X = 162.8892</t>
  </si>
  <si>
    <t>Y = 80.7099</t>
  </si>
  <si>
    <t>315°</t>
  </si>
  <si>
    <t>X = 166.4049</t>
  </si>
  <si>
    <t>Y = 83.5951</t>
  </si>
  <si>
    <t>326.2°</t>
  </si>
  <si>
    <t>X = 169.2901</t>
  </si>
  <si>
    <t>Y = 87.1108</t>
  </si>
  <si>
    <t>337.5°</t>
  </si>
  <si>
    <t>X = 171.4340</t>
  </si>
  <si>
    <t>Y = 91.1217</t>
  </si>
  <si>
    <t>348.8°</t>
  </si>
  <si>
    <t>X = 172.7542</t>
  </si>
  <si>
    <t>Y = 95.4739</t>
  </si>
  <si>
    <t>360°</t>
  </si>
  <si>
    <t>X = 173.2000</t>
  </si>
  <si>
    <t>Y = 100.0000</t>
  </si>
  <si>
    <t>371.2°</t>
  </si>
  <si>
    <t>Y = 104.5261</t>
  </si>
  <si>
    <t>382.5°</t>
  </si>
  <si>
    <t>Y = 108.8783</t>
  </si>
  <si>
    <t>393.8°</t>
  </si>
  <si>
    <t>Y = 112.8892</t>
  </si>
  <si>
    <t>405°</t>
  </si>
  <si>
    <t>Y = 116.4049</t>
  </si>
  <si>
    <t>416.2°</t>
  </si>
  <si>
    <t>Y = 119.2901</t>
  </si>
  <si>
    <t>427.5°</t>
  </si>
  <si>
    <t>Y = 121.4340</t>
  </si>
  <si>
    <t>438.8°</t>
  </si>
  <si>
    <t>Y = 122.7542</t>
  </si>
  <si>
    <t>450°</t>
  </si>
  <si>
    <t>Y = 123.2000</t>
  </si>
  <si>
    <t>461.2°</t>
  </si>
  <si>
    <t>X = 145.4739</t>
  </si>
  <si>
    <t>472.5°</t>
  </si>
  <si>
    <t>X = 141.1217</t>
  </si>
  <si>
    <t>483.8°</t>
  </si>
  <si>
    <t>X = 137.1108</t>
  </si>
  <si>
    <t>495°</t>
  </si>
  <si>
    <t>X = 133.5951</t>
  </si>
  <si>
    <t>506.2°</t>
  </si>
  <si>
    <t>X = 130.7099</t>
  </si>
  <si>
    <t>517.5°</t>
  </si>
  <si>
    <t>X = 128.5660</t>
  </si>
  <si>
    <t>528.8°</t>
  </si>
  <si>
    <t>X = 127.2458</t>
  </si>
  <si>
    <t>540°</t>
  </si>
  <si>
    <t>X = 126.8000</t>
  </si>
  <si>
    <t>551.2°</t>
  </si>
  <si>
    <t>562.5°</t>
  </si>
  <si>
    <t>573.8°</t>
  </si>
  <si>
    <t>585°</t>
  </si>
  <si>
    <t>596.2°</t>
  </si>
  <si>
    <t>607.5°</t>
  </si>
  <si>
    <t>618.8°</t>
  </si>
  <si>
    <t>Drehung LED</t>
  </si>
  <si>
    <t>Drehung Schrift</t>
  </si>
  <si>
    <t>-90°</t>
  </si>
  <si>
    <t>Y = 72.0000</t>
  </si>
  <si>
    <t>-81°</t>
  </si>
  <si>
    <t>X = 154.3802</t>
  </si>
  <si>
    <t>Y = 72.3447</t>
  </si>
  <si>
    <t>-72°</t>
  </si>
  <si>
    <t>X = 158.6525</t>
  </si>
  <si>
    <t>Y = 73.3704</t>
  </si>
  <si>
    <t>-63°</t>
  </si>
  <si>
    <t>X = 162.7117</t>
  </si>
  <si>
    <t>Y = 75.0518</t>
  </si>
  <si>
    <t>-54°</t>
  </si>
  <si>
    <t>X = 166.4580</t>
  </si>
  <si>
    <t>Y = 77.3475</t>
  </si>
  <si>
    <t>-45°</t>
  </si>
  <si>
    <t>X = 169.7990</t>
  </si>
  <si>
    <t>Y = 80.2010</t>
  </si>
  <si>
    <t>-36°</t>
  </si>
  <si>
    <t>X = 172.6525</t>
  </si>
  <si>
    <t>Y = 83.5420</t>
  </si>
  <si>
    <t>-27°</t>
  </si>
  <si>
    <t>X = 174.9482</t>
  </si>
  <si>
    <t>Y = 87.2883</t>
  </si>
  <si>
    <t>-18°</t>
  </si>
  <si>
    <t>X = 176.6296</t>
  </si>
  <si>
    <t>Y = 91.3475</t>
  </si>
  <si>
    <t>-9°</t>
  </si>
  <si>
    <t>X = 177.6553</t>
  </si>
  <si>
    <t>Y = 95.6198</t>
  </si>
  <si>
    <t>0°</t>
  </si>
  <si>
    <t>X = 178.0000</t>
  </si>
  <si>
    <t>9°</t>
  </si>
  <si>
    <t>Y = 104.3802</t>
  </si>
  <si>
    <t>18°</t>
  </si>
  <si>
    <t>Y = 108.6525</t>
  </si>
  <si>
    <t>27°</t>
  </si>
  <si>
    <t>Y = 112.7117</t>
  </si>
  <si>
    <t>36°</t>
  </si>
  <si>
    <t>Y = 116.4580</t>
  </si>
  <si>
    <t>45°</t>
  </si>
  <si>
    <t>Y = 119.7990</t>
  </si>
  <si>
    <t>54°</t>
  </si>
  <si>
    <t>Y = 122.6525</t>
  </si>
  <si>
    <t>63°</t>
  </si>
  <si>
    <t>Y = 124.9482</t>
  </si>
  <si>
    <t>72°</t>
  </si>
  <si>
    <t>Y = 126.6296</t>
  </si>
  <si>
    <t>81°</t>
  </si>
  <si>
    <t>Y = 127.6553</t>
  </si>
  <si>
    <t>90°</t>
  </si>
  <si>
    <t>Y = 128.0000</t>
  </si>
  <si>
    <t>99°</t>
  </si>
  <si>
    <t>X = 145.6198</t>
  </si>
  <si>
    <t>108°</t>
  </si>
  <si>
    <t>X = 141.3475</t>
  </si>
  <si>
    <t>117°</t>
  </si>
  <si>
    <t>X = 137.2883</t>
  </si>
  <si>
    <t>126°</t>
  </si>
  <si>
    <t>X = 133.5420</t>
  </si>
  <si>
    <t>135°</t>
  </si>
  <si>
    <t>X = 130.2010</t>
  </si>
  <si>
    <t>144°</t>
  </si>
  <si>
    <t>X = 127.3475</t>
  </si>
  <si>
    <t>153°</t>
  </si>
  <si>
    <t>X = 125.0518</t>
  </si>
  <si>
    <t>162°</t>
  </si>
  <si>
    <t>X = 123.3704</t>
  </si>
  <si>
    <t>171°</t>
  </si>
  <si>
    <t>X = 122.3447</t>
  </si>
  <si>
    <t>180°</t>
  </si>
  <si>
    <t>X = 122.0000</t>
  </si>
  <si>
    <t>189°</t>
  </si>
  <si>
    <t>198°</t>
  </si>
  <si>
    <t>207°</t>
  </si>
  <si>
    <t>216°</t>
  </si>
  <si>
    <t>225°</t>
  </si>
  <si>
    <t>234°</t>
  </si>
  <si>
    <t>243°</t>
  </si>
  <si>
    <t>252°</t>
  </si>
  <si>
    <t>261°</t>
  </si>
  <si>
    <t>pi</t>
  </si>
  <si>
    <t>r</t>
  </si>
  <si>
    <t>Y = 67.2000</t>
  </si>
  <si>
    <t>-82.5°</t>
  </si>
  <si>
    <t>X = 154.2813</t>
  </si>
  <si>
    <t>Y = 67.4806</t>
  </si>
  <si>
    <t>-75°</t>
  </si>
  <si>
    <t>X = 158.4893</t>
  </si>
  <si>
    <t>Y = 68.3176</t>
  </si>
  <si>
    <t>-67.5°</t>
  </si>
  <si>
    <t>X = 162.5520</t>
  </si>
  <si>
    <t>Y = 69.6968</t>
  </si>
  <si>
    <t>-60°</t>
  </si>
  <si>
    <t>X = 166.4000</t>
  </si>
  <si>
    <t>Y = 71.5944</t>
  </si>
  <si>
    <t>-52.5°</t>
  </si>
  <si>
    <t>X = 169.9674</t>
  </si>
  <si>
    <t>Y = 73.9780</t>
  </si>
  <si>
    <t>X = 173.1931</t>
  </si>
  <si>
    <t>Y = 76.8069</t>
  </si>
  <si>
    <t>-37.5°</t>
  </si>
  <si>
    <t>X = 176.0220</t>
  </si>
  <si>
    <t>Y = 80.0326</t>
  </si>
  <si>
    <t>-30°</t>
  </si>
  <si>
    <t>X = 178.4056</t>
  </si>
  <si>
    <t>Y = 83.6000</t>
  </si>
  <si>
    <t>-22.5°</t>
  </si>
  <si>
    <t>X = 180.3032</t>
  </si>
  <si>
    <t>Y = 87.4480</t>
  </si>
  <si>
    <t>-15°</t>
  </si>
  <si>
    <t>X = 181.6824</t>
  </si>
  <si>
    <t>Y = 91.5107</t>
  </si>
  <si>
    <t>-7.5°</t>
  </si>
  <si>
    <t>X = 182.5194</t>
  </si>
  <si>
    <t>Y = 95.7187</t>
  </si>
  <si>
    <t>X = 182.8000</t>
  </si>
  <si>
    <t>7.5°</t>
  </si>
  <si>
    <t>Y = 104.2813</t>
  </si>
  <si>
    <t>15°</t>
  </si>
  <si>
    <t>Y = 108.4893</t>
  </si>
  <si>
    <t>22.5°</t>
  </si>
  <si>
    <t>Y = 112.5520</t>
  </si>
  <si>
    <t>30°</t>
  </si>
  <si>
    <t>Y = 116.4000</t>
  </si>
  <si>
    <t>37.5°</t>
  </si>
  <si>
    <t>Y = 119.9674</t>
  </si>
  <si>
    <t>Y = 123.1931</t>
  </si>
  <si>
    <t>52.5°</t>
  </si>
  <si>
    <t>Y = 126.0220</t>
  </si>
  <si>
    <t>60°</t>
  </si>
  <si>
    <t>Y = 128.4056</t>
  </si>
  <si>
    <t>67.5°</t>
  </si>
  <si>
    <t>Y = 130.3032</t>
  </si>
  <si>
    <t>75°</t>
  </si>
  <si>
    <t>Y = 131.6824</t>
  </si>
  <si>
    <t>82.5°</t>
  </si>
  <si>
    <t>Y = 132.5194</t>
  </si>
  <si>
    <t>Y = 132.8000</t>
  </si>
  <si>
    <t>97.5°</t>
  </si>
  <si>
    <t>X = 145.7187</t>
  </si>
  <si>
    <t>105°</t>
  </si>
  <si>
    <t>X = 141.5107</t>
  </si>
  <si>
    <t>112.5°</t>
  </si>
  <si>
    <t>X = 137.4480</t>
  </si>
  <si>
    <t>120°</t>
  </si>
  <si>
    <t>X = 133.6000</t>
  </si>
  <si>
    <t>127.5°</t>
  </si>
  <si>
    <t>X = 130.0326</t>
  </si>
  <si>
    <t>X = 126.8069</t>
  </si>
  <si>
    <t>142.5°</t>
  </si>
  <si>
    <t>X = 123.9780</t>
  </si>
  <si>
    <t>150°</t>
  </si>
  <si>
    <t>X = 121.5944</t>
  </si>
  <si>
    <t>157.5°</t>
  </si>
  <si>
    <t>X = 119.6968</t>
  </si>
  <si>
    <t>165°</t>
  </si>
  <si>
    <t>X = 118.3176</t>
  </si>
  <si>
    <t>172.5°</t>
  </si>
  <si>
    <t>X = 117.4806</t>
  </si>
  <si>
    <t>X = 117.2000</t>
  </si>
  <si>
    <t>187.5°</t>
  </si>
  <si>
    <t>195°</t>
  </si>
  <si>
    <t>202.5°</t>
  </si>
  <si>
    <t>210°</t>
  </si>
  <si>
    <t>217.5°</t>
  </si>
  <si>
    <t>232.5°</t>
  </si>
  <si>
    <t>240°</t>
  </si>
  <si>
    <t>247.5°</t>
  </si>
  <si>
    <t>255°</t>
  </si>
  <si>
    <t>262.5°</t>
  </si>
  <si>
    <t>IC:</t>
  </si>
  <si>
    <t>X = 161.2500</t>
  </si>
  <si>
    <t>Y = 80.5144</t>
  </si>
  <si>
    <t>X = 171.7333</t>
  </si>
  <si>
    <t>Y = 94.1766</t>
  </si>
  <si>
    <t>X = 169.4856</t>
  </si>
  <si>
    <t>Y = 111.2500</t>
  </si>
  <si>
    <t>X = 155.8234</t>
  </si>
  <si>
    <t>Y = 121.7333</t>
  </si>
  <si>
    <t>X = 138.7500</t>
  </si>
  <si>
    <t>Y = 119.4856</t>
  </si>
  <si>
    <t>X = 128.2667</t>
  </si>
  <si>
    <t>Y = 105.8234</t>
  </si>
  <si>
    <t>X = 130.5144</t>
  </si>
  <si>
    <t>Y = 88.7500</t>
  </si>
  <si>
    <t>X = 144.1766</t>
  </si>
  <si>
    <t>Y = 78.2667</t>
  </si>
  <si>
    <t>X = 164.5000</t>
  </si>
  <si>
    <t>Y = 74.8853</t>
  </si>
  <si>
    <t>-24°</t>
  </si>
  <si>
    <t>X = 176.4928</t>
  </si>
  <si>
    <t>Y = 88.2046</t>
  </si>
  <si>
    <t>12°</t>
  </si>
  <si>
    <t>X = 178.3663</t>
  </si>
  <si>
    <t>Y = 106.0294</t>
  </si>
  <si>
    <t>48°</t>
  </si>
  <si>
    <t>X = 169.4048</t>
  </si>
  <si>
    <t>Y = 121.5512</t>
  </si>
  <si>
    <t>84°</t>
  </si>
  <si>
    <t>X = 153.0313</t>
  </si>
  <si>
    <t>Y = 128.8411</t>
  </si>
  <si>
    <t>X = 135.5000</t>
  </si>
  <si>
    <t>Y = 125.1147</t>
  </si>
  <si>
    <t>156°</t>
  </si>
  <si>
    <t>X = 123.5072</t>
  </si>
  <si>
    <t>Y = 111.7954</t>
  </si>
  <si>
    <t>192°</t>
  </si>
  <si>
    <t>X = 121.6337</t>
  </si>
  <si>
    <t>Y = 93.9706</t>
  </si>
  <si>
    <t>228°</t>
  </si>
  <si>
    <t>X = 130.5952</t>
  </si>
  <si>
    <t>Y = 78.4488</t>
  </si>
  <si>
    <t>264°</t>
  </si>
  <si>
    <t>X = 146.9687</t>
  </si>
  <si>
    <t>Y = 71.1589</t>
  </si>
  <si>
    <t>-70°</t>
  </si>
  <si>
    <t>X = 161.6287</t>
  </si>
  <si>
    <t>Y = 68.0505</t>
  </si>
  <si>
    <t>-40°</t>
  </si>
  <si>
    <t>X = 176.0455</t>
  </si>
  <si>
    <t>Y = 78.1452</t>
  </si>
  <si>
    <t>-10°</t>
  </si>
  <si>
    <t>X = 183.4835</t>
  </si>
  <si>
    <t>Y = 94.0960</t>
  </si>
  <si>
    <t>20°</t>
  </si>
  <si>
    <t>X = 181.9495</t>
  </si>
  <si>
    <t>Y = 111.6287</t>
  </si>
  <si>
    <t>50°</t>
  </si>
  <si>
    <t>X = 171.8548</t>
  </si>
  <si>
    <t>Y = 126.0455</t>
  </si>
  <si>
    <t>80°</t>
  </si>
  <si>
    <t>X = 155.9040</t>
  </si>
  <si>
    <t>Y = 133.4835</t>
  </si>
  <si>
    <t>110°</t>
  </si>
  <si>
    <t>X = 138.3713</t>
  </si>
  <si>
    <t>Y = 131.9495</t>
  </si>
  <si>
    <t>140°</t>
  </si>
  <si>
    <t>X = 123.9545</t>
  </si>
  <si>
    <t>Y = 121.8548</t>
  </si>
  <si>
    <t>170°</t>
  </si>
  <si>
    <t>X = 116.5165</t>
  </si>
  <si>
    <t>Y = 105.9040</t>
  </si>
  <si>
    <t>200°</t>
  </si>
  <si>
    <t>X = 118.0505</t>
  </si>
  <si>
    <t>Y = 88.3713</t>
  </si>
  <si>
    <t>230°</t>
  </si>
  <si>
    <t>X = 128.1452</t>
  </si>
  <si>
    <t>Y = 73.9545</t>
  </si>
  <si>
    <t>260°</t>
  </si>
  <si>
    <t>X = 144.0960</t>
  </si>
  <si>
    <t>Y = 66.516</t>
  </si>
  <si>
    <t>Number of Holes</t>
  </si>
  <si>
    <t>N </t>
  </si>
  <si>
    <t>Diameter of Bolt Circle</t>
  </si>
  <si>
    <t>D   in  mm</t>
  </si>
  <si>
    <t>Diameter of Holes</t>
  </si>
  <si>
    <t>d </t>
  </si>
  <si>
    <t>Angle of First Hole</t>
  </si>
  <si>
    <t>A  degrees</t>
  </si>
  <si>
    <t>Offset of Center</t>
  </si>
  <si>
    <t>X     Y  </t>
  </si>
  <si>
    <t>  </t>
  </si>
  <si>
    <t>X = 176.0000</t>
  </si>
  <si>
    <t>X = 174.0209</t>
  </si>
  <si>
    <t>Y = 109.9498</t>
  </si>
  <si>
    <t>X = 168.3848</t>
  </si>
  <si>
    <t>Y = 118.3848</t>
  </si>
  <si>
    <t>X = 159.9498</t>
  </si>
  <si>
    <t>Y = 124.0209</t>
  </si>
  <si>
    <t>Y = 126.0000</t>
  </si>
  <si>
    <t>X = 140.0502</t>
  </si>
  <si>
    <t>X = 131.6152</t>
  </si>
  <si>
    <t>X = 125.9791</t>
  </si>
  <si>
    <t>X = 124.0000</t>
  </si>
  <si>
    <t>Y = 90.0502</t>
  </si>
  <si>
    <t>Y = 81.6152</t>
  </si>
  <si>
    <t>Y = 75.9791</t>
  </si>
  <si>
    <t>Y = 74.0000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</si>
</sst>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365F9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9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6.emf"/><Relationship Id="rId7" Type="http://schemas.openxmlformats.org/officeDocument/2006/relationships/image" Target="../media/image2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11</xdr:col>
          <xdr:colOff>295275</xdr:colOff>
          <xdr:row>3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11</xdr:col>
          <xdr:colOff>295275</xdr:colOff>
          <xdr:row>4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</xdr:row>
          <xdr:rowOff>0</xdr:rowOff>
        </xdr:from>
        <xdr:to>
          <xdr:col>12</xdr:col>
          <xdr:colOff>257175</xdr:colOff>
          <xdr:row>4</xdr:row>
          <xdr:rowOff>266700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</xdr:row>
          <xdr:rowOff>0</xdr:rowOff>
        </xdr:from>
        <xdr:to>
          <xdr:col>12</xdr:col>
          <xdr:colOff>257175</xdr:colOff>
          <xdr:row>4</xdr:row>
          <xdr:rowOff>266700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11</xdr:col>
          <xdr:colOff>295275</xdr:colOff>
          <xdr:row>5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11</xdr:col>
          <xdr:colOff>295275</xdr:colOff>
          <xdr:row>6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11</xdr:col>
          <xdr:colOff>295275</xdr:colOff>
          <xdr:row>7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</xdr:row>
          <xdr:rowOff>0</xdr:rowOff>
        </xdr:from>
        <xdr:to>
          <xdr:col>12</xdr:col>
          <xdr:colOff>381000</xdr:colOff>
          <xdr:row>7</xdr:row>
          <xdr:rowOff>228600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27" workbookViewId="0">
      <selection activeCell="E41" sqref="E41"/>
    </sheetView>
  </sheetViews>
  <sheetFormatPr baseColWidth="10" defaultColWidth="16" defaultRowHeight="15" x14ac:dyDescent="0.2"/>
  <cols>
    <col min="1" max="1" width="16" style="2"/>
    <col min="2" max="5" width="16" style="4"/>
    <col min="6" max="16384" width="16" style="2"/>
  </cols>
  <sheetData>
    <row r="1" spans="1:6" ht="15.75" x14ac:dyDescent="0.2">
      <c r="A1" s="1" t="s">
        <v>0</v>
      </c>
      <c r="E1" s="4">
        <v>11.25</v>
      </c>
      <c r="F1" s="2">
        <v>270</v>
      </c>
    </row>
    <row r="2" spans="1:6" ht="16.5" thickBot="1" x14ac:dyDescent="0.25">
      <c r="A2" s="1"/>
      <c r="E2" s="4" t="s">
        <v>67</v>
      </c>
      <c r="F2" s="2" t="s">
        <v>68</v>
      </c>
    </row>
    <row r="3" spans="1:6" ht="15.75" thickBot="1" x14ac:dyDescent="0.25">
      <c r="A3" s="3">
        <v>1</v>
      </c>
      <c r="B3" s="5" t="s">
        <v>1</v>
      </c>
      <c r="C3" s="5" t="s">
        <v>2</v>
      </c>
      <c r="D3" s="5" t="s">
        <v>3</v>
      </c>
      <c r="E3" s="4">
        <v>0</v>
      </c>
      <c r="F3" s="2">
        <f>$F$1-E3</f>
        <v>270</v>
      </c>
    </row>
    <row r="4" spans="1:6" ht="15.75" thickBot="1" x14ac:dyDescent="0.25">
      <c r="A4" s="3">
        <v>2</v>
      </c>
      <c r="B4" s="5" t="s">
        <v>4</v>
      </c>
      <c r="C4" s="5" t="s">
        <v>5</v>
      </c>
      <c r="D4" s="5" t="s">
        <v>6</v>
      </c>
      <c r="E4" s="4">
        <f>E3-$E$1</f>
        <v>-11.25</v>
      </c>
      <c r="F4" s="2">
        <f>$F$1-E4</f>
        <v>281.25</v>
      </c>
    </row>
    <row r="5" spans="1:6" ht="15.75" thickBot="1" x14ac:dyDescent="0.25">
      <c r="A5" s="3">
        <v>3</v>
      </c>
      <c r="B5" s="5" t="s">
        <v>7</v>
      </c>
      <c r="C5" s="5" t="s">
        <v>8</v>
      </c>
      <c r="D5" s="5" t="s">
        <v>9</v>
      </c>
      <c r="E5" s="4">
        <f t="shared" ref="E5:E34" si="0">E4-$E$1</f>
        <v>-22.5</v>
      </c>
      <c r="F5" s="2">
        <f>$F$1-E5</f>
        <v>292.5</v>
      </c>
    </row>
    <row r="6" spans="1:6" ht="15.75" thickBot="1" x14ac:dyDescent="0.25">
      <c r="A6" s="3">
        <v>4</v>
      </c>
      <c r="B6" s="5" t="s">
        <v>10</v>
      </c>
      <c r="C6" s="5" t="s">
        <v>11</v>
      </c>
      <c r="D6" s="5" t="s">
        <v>12</v>
      </c>
      <c r="E6" s="4">
        <f t="shared" si="0"/>
        <v>-33.75</v>
      </c>
      <c r="F6" s="2">
        <f>$F$1-E6</f>
        <v>303.75</v>
      </c>
    </row>
    <row r="7" spans="1:6" ht="15.75" thickBot="1" x14ac:dyDescent="0.25">
      <c r="A7" s="3">
        <v>5</v>
      </c>
      <c r="B7" s="5" t="s">
        <v>13</v>
      </c>
      <c r="C7" s="5" t="s">
        <v>14</v>
      </c>
      <c r="D7" s="5" t="s">
        <v>15</v>
      </c>
      <c r="E7" s="4">
        <f t="shared" si="0"/>
        <v>-45</v>
      </c>
      <c r="F7" s="2">
        <f t="shared" ref="F7:F34" si="1">$F$1-E7</f>
        <v>315</v>
      </c>
    </row>
    <row r="8" spans="1:6" ht="15.75" thickBot="1" x14ac:dyDescent="0.25">
      <c r="A8" s="3">
        <v>6</v>
      </c>
      <c r="B8" s="5" t="s">
        <v>16</v>
      </c>
      <c r="C8" s="5" t="s">
        <v>17</v>
      </c>
      <c r="D8" s="5" t="s">
        <v>18</v>
      </c>
      <c r="E8" s="4">
        <f t="shared" si="0"/>
        <v>-56.25</v>
      </c>
      <c r="F8" s="2">
        <f t="shared" si="1"/>
        <v>326.25</v>
      </c>
    </row>
    <row r="9" spans="1:6" ht="15.75" thickBot="1" x14ac:dyDescent="0.25">
      <c r="A9" s="3">
        <v>7</v>
      </c>
      <c r="B9" s="5" t="s">
        <v>19</v>
      </c>
      <c r="C9" s="5" t="s">
        <v>20</v>
      </c>
      <c r="D9" s="5" t="s">
        <v>21</v>
      </c>
      <c r="E9" s="4">
        <f t="shared" si="0"/>
        <v>-67.5</v>
      </c>
      <c r="F9" s="2">
        <f t="shared" si="1"/>
        <v>337.5</v>
      </c>
    </row>
    <row r="10" spans="1:6" ht="15.75" thickBot="1" x14ac:dyDescent="0.25">
      <c r="A10" s="3">
        <v>8</v>
      </c>
      <c r="B10" s="5" t="s">
        <v>22</v>
      </c>
      <c r="C10" s="5" t="s">
        <v>23</v>
      </c>
      <c r="D10" s="5" t="s">
        <v>24</v>
      </c>
      <c r="E10" s="4">
        <f t="shared" si="0"/>
        <v>-78.75</v>
      </c>
      <c r="F10" s="2">
        <f t="shared" si="1"/>
        <v>348.75</v>
      </c>
    </row>
    <row r="11" spans="1:6" ht="15.75" thickBot="1" x14ac:dyDescent="0.25">
      <c r="A11" s="3">
        <v>9</v>
      </c>
      <c r="B11" s="5" t="s">
        <v>25</v>
      </c>
      <c r="C11" s="5" t="s">
        <v>26</v>
      </c>
      <c r="D11" s="5" t="s">
        <v>27</v>
      </c>
      <c r="E11" s="4">
        <f t="shared" si="0"/>
        <v>-90</v>
      </c>
      <c r="F11" s="2">
        <f t="shared" si="1"/>
        <v>360</v>
      </c>
    </row>
    <row r="12" spans="1:6" ht="15.75" thickBot="1" x14ac:dyDescent="0.25">
      <c r="A12" s="3">
        <v>10</v>
      </c>
      <c r="B12" s="5" t="s">
        <v>28</v>
      </c>
      <c r="C12" s="5" t="s">
        <v>23</v>
      </c>
      <c r="D12" s="5" t="s">
        <v>29</v>
      </c>
      <c r="E12" s="4">
        <f t="shared" si="0"/>
        <v>-101.25</v>
      </c>
      <c r="F12" s="2">
        <f t="shared" si="1"/>
        <v>371.25</v>
      </c>
    </row>
    <row r="13" spans="1:6" ht="15.75" thickBot="1" x14ac:dyDescent="0.25">
      <c r="A13" s="3">
        <v>11</v>
      </c>
      <c r="B13" s="5" t="s">
        <v>30</v>
      </c>
      <c r="C13" s="5" t="s">
        <v>20</v>
      </c>
      <c r="D13" s="5" t="s">
        <v>31</v>
      </c>
      <c r="E13" s="4">
        <f t="shared" si="0"/>
        <v>-112.5</v>
      </c>
      <c r="F13" s="2">
        <f t="shared" si="1"/>
        <v>382.5</v>
      </c>
    </row>
    <row r="14" spans="1:6" ht="15.75" thickBot="1" x14ac:dyDescent="0.25">
      <c r="A14" s="3">
        <v>12</v>
      </c>
      <c r="B14" s="5" t="s">
        <v>32</v>
      </c>
      <c r="C14" s="5" t="s">
        <v>17</v>
      </c>
      <c r="D14" s="5" t="s">
        <v>33</v>
      </c>
      <c r="E14" s="4">
        <f t="shared" si="0"/>
        <v>-123.75</v>
      </c>
      <c r="F14" s="2">
        <f t="shared" si="1"/>
        <v>393.75</v>
      </c>
    </row>
    <row r="15" spans="1:6" ht="15.75" thickBot="1" x14ac:dyDescent="0.25">
      <c r="A15" s="3">
        <v>13</v>
      </c>
      <c r="B15" s="5" t="s">
        <v>34</v>
      </c>
      <c r="C15" s="5" t="s">
        <v>14</v>
      </c>
      <c r="D15" s="5" t="s">
        <v>35</v>
      </c>
      <c r="E15" s="4">
        <f t="shared" si="0"/>
        <v>-135</v>
      </c>
      <c r="F15" s="2">
        <f t="shared" si="1"/>
        <v>405</v>
      </c>
    </row>
    <row r="16" spans="1:6" ht="15.75" thickBot="1" x14ac:dyDescent="0.25">
      <c r="A16" s="3">
        <v>14</v>
      </c>
      <c r="B16" s="5" t="s">
        <v>36</v>
      </c>
      <c r="C16" s="5" t="s">
        <v>11</v>
      </c>
      <c r="D16" s="5" t="s">
        <v>37</v>
      </c>
      <c r="E16" s="4">
        <f t="shared" si="0"/>
        <v>-146.25</v>
      </c>
      <c r="F16" s="2">
        <f t="shared" si="1"/>
        <v>416.25</v>
      </c>
    </row>
    <row r="17" spans="1:6" ht="15.75" thickBot="1" x14ac:dyDescent="0.25">
      <c r="A17" s="3">
        <v>15</v>
      </c>
      <c r="B17" s="5" t="s">
        <v>38</v>
      </c>
      <c r="C17" s="5" t="s">
        <v>8</v>
      </c>
      <c r="D17" s="5" t="s">
        <v>39</v>
      </c>
      <c r="E17" s="4">
        <f t="shared" si="0"/>
        <v>-157.5</v>
      </c>
      <c r="F17" s="2">
        <f t="shared" si="1"/>
        <v>427.5</v>
      </c>
    </row>
    <row r="18" spans="1:6" ht="15.75" thickBot="1" x14ac:dyDescent="0.25">
      <c r="A18" s="3">
        <v>16</v>
      </c>
      <c r="B18" s="5" t="s">
        <v>40</v>
      </c>
      <c r="C18" s="5" t="s">
        <v>5</v>
      </c>
      <c r="D18" s="5" t="s">
        <v>41</v>
      </c>
      <c r="E18" s="4">
        <f t="shared" si="0"/>
        <v>-168.75</v>
      </c>
      <c r="F18" s="2">
        <f t="shared" si="1"/>
        <v>438.75</v>
      </c>
    </row>
    <row r="19" spans="1:6" ht="15.75" thickBot="1" x14ac:dyDescent="0.25">
      <c r="A19" s="3">
        <v>17</v>
      </c>
      <c r="B19" s="5" t="s">
        <v>42</v>
      </c>
      <c r="C19" s="5" t="s">
        <v>2</v>
      </c>
      <c r="D19" s="5" t="s">
        <v>43</v>
      </c>
      <c r="E19" s="4">
        <f t="shared" si="0"/>
        <v>-180</v>
      </c>
      <c r="F19" s="2">
        <f t="shared" si="1"/>
        <v>450</v>
      </c>
    </row>
    <row r="20" spans="1:6" ht="15.75" thickBot="1" x14ac:dyDescent="0.25">
      <c r="A20" s="3">
        <v>18</v>
      </c>
      <c r="B20" s="5" t="s">
        <v>44</v>
      </c>
      <c r="C20" s="5" t="s">
        <v>45</v>
      </c>
      <c r="D20" s="5" t="s">
        <v>41</v>
      </c>
      <c r="E20" s="4">
        <f t="shared" si="0"/>
        <v>-191.25</v>
      </c>
      <c r="F20" s="2">
        <f t="shared" si="1"/>
        <v>461.25</v>
      </c>
    </row>
    <row r="21" spans="1:6" ht="15.75" thickBot="1" x14ac:dyDescent="0.25">
      <c r="A21" s="3">
        <v>19</v>
      </c>
      <c r="B21" s="5" t="s">
        <v>46</v>
      </c>
      <c r="C21" s="5" t="s">
        <v>47</v>
      </c>
      <c r="D21" s="5" t="s">
        <v>39</v>
      </c>
      <c r="E21" s="4">
        <f t="shared" si="0"/>
        <v>-202.5</v>
      </c>
      <c r="F21" s="2">
        <f t="shared" si="1"/>
        <v>472.5</v>
      </c>
    </row>
    <row r="22" spans="1:6" ht="15.75" thickBot="1" x14ac:dyDescent="0.25">
      <c r="A22" s="3">
        <v>20</v>
      </c>
      <c r="B22" s="5" t="s">
        <v>48</v>
      </c>
      <c r="C22" s="5" t="s">
        <v>49</v>
      </c>
      <c r="D22" s="5" t="s">
        <v>37</v>
      </c>
      <c r="E22" s="4">
        <f t="shared" si="0"/>
        <v>-213.75</v>
      </c>
      <c r="F22" s="2">
        <f t="shared" si="1"/>
        <v>483.75</v>
      </c>
    </row>
    <row r="23" spans="1:6" ht="15.75" thickBot="1" x14ac:dyDescent="0.25">
      <c r="A23" s="3">
        <v>21</v>
      </c>
      <c r="B23" s="5" t="s">
        <v>50</v>
      </c>
      <c r="C23" s="5" t="s">
        <v>51</v>
      </c>
      <c r="D23" s="5" t="s">
        <v>35</v>
      </c>
      <c r="E23" s="4">
        <f t="shared" si="0"/>
        <v>-225</v>
      </c>
      <c r="F23" s="2">
        <f t="shared" si="1"/>
        <v>495</v>
      </c>
    </row>
    <row r="24" spans="1:6" ht="15.75" thickBot="1" x14ac:dyDescent="0.25">
      <c r="A24" s="3">
        <v>22</v>
      </c>
      <c r="B24" s="5" t="s">
        <v>52</v>
      </c>
      <c r="C24" s="5" t="s">
        <v>53</v>
      </c>
      <c r="D24" s="5" t="s">
        <v>33</v>
      </c>
      <c r="E24" s="4">
        <f t="shared" si="0"/>
        <v>-236.25</v>
      </c>
      <c r="F24" s="2">
        <f t="shared" si="1"/>
        <v>506.25</v>
      </c>
    </row>
    <row r="25" spans="1:6" ht="15.75" thickBot="1" x14ac:dyDescent="0.25">
      <c r="A25" s="3">
        <v>23</v>
      </c>
      <c r="B25" s="5" t="s">
        <v>54</v>
      </c>
      <c r="C25" s="5" t="s">
        <v>55</v>
      </c>
      <c r="D25" s="5" t="s">
        <v>31</v>
      </c>
      <c r="E25" s="4">
        <f t="shared" si="0"/>
        <v>-247.5</v>
      </c>
      <c r="F25" s="2">
        <f t="shared" si="1"/>
        <v>517.5</v>
      </c>
    </row>
    <row r="26" spans="1:6" ht="15.75" thickBot="1" x14ac:dyDescent="0.25">
      <c r="A26" s="3">
        <v>24</v>
      </c>
      <c r="B26" s="5" t="s">
        <v>56</v>
      </c>
      <c r="C26" s="5" t="s">
        <v>57</v>
      </c>
      <c r="D26" s="5" t="s">
        <v>29</v>
      </c>
      <c r="E26" s="4">
        <f t="shared" si="0"/>
        <v>-258.75</v>
      </c>
      <c r="F26" s="2">
        <f t="shared" si="1"/>
        <v>528.75</v>
      </c>
    </row>
    <row r="27" spans="1:6" ht="15.75" thickBot="1" x14ac:dyDescent="0.25">
      <c r="A27" s="3">
        <v>25</v>
      </c>
      <c r="B27" s="5" t="s">
        <v>58</v>
      </c>
      <c r="C27" s="5" t="s">
        <v>59</v>
      </c>
      <c r="D27" s="5" t="s">
        <v>27</v>
      </c>
      <c r="E27" s="4">
        <f t="shared" si="0"/>
        <v>-270</v>
      </c>
      <c r="F27" s="2">
        <f t="shared" si="1"/>
        <v>540</v>
      </c>
    </row>
    <row r="28" spans="1:6" ht="15.75" thickBot="1" x14ac:dyDescent="0.25">
      <c r="A28" s="3">
        <v>26</v>
      </c>
      <c r="B28" s="5" t="s">
        <v>60</v>
      </c>
      <c r="C28" s="5" t="s">
        <v>57</v>
      </c>
      <c r="D28" s="5" t="s">
        <v>24</v>
      </c>
      <c r="E28" s="4">
        <f t="shared" si="0"/>
        <v>-281.25</v>
      </c>
      <c r="F28" s="2">
        <f t="shared" si="1"/>
        <v>551.25</v>
      </c>
    </row>
    <row r="29" spans="1:6" ht="15.75" thickBot="1" x14ac:dyDescent="0.25">
      <c r="A29" s="3">
        <v>27</v>
      </c>
      <c r="B29" s="5" t="s">
        <v>61</v>
      </c>
      <c r="C29" s="5" t="s">
        <v>55</v>
      </c>
      <c r="D29" s="5" t="s">
        <v>21</v>
      </c>
      <c r="E29" s="4">
        <f t="shared" si="0"/>
        <v>-292.5</v>
      </c>
      <c r="F29" s="2">
        <f t="shared" si="1"/>
        <v>562.5</v>
      </c>
    </row>
    <row r="30" spans="1:6" ht="15.75" thickBot="1" x14ac:dyDescent="0.25">
      <c r="A30" s="3">
        <v>28</v>
      </c>
      <c r="B30" s="5" t="s">
        <v>62</v>
      </c>
      <c r="C30" s="5" t="s">
        <v>53</v>
      </c>
      <c r="D30" s="5" t="s">
        <v>18</v>
      </c>
      <c r="E30" s="4">
        <f t="shared" si="0"/>
        <v>-303.75</v>
      </c>
      <c r="F30" s="2">
        <f t="shared" si="1"/>
        <v>573.75</v>
      </c>
    </row>
    <row r="31" spans="1:6" ht="15.75" thickBot="1" x14ac:dyDescent="0.25">
      <c r="A31" s="3">
        <v>29</v>
      </c>
      <c r="B31" s="5" t="s">
        <v>63</v>
      </c>
      <c r="C31" s="5" t="s">
        <v>51</v>
      </c>
      <c r="D31" s="5" t="s">
        <v>15</v>
      </c>
      <c r="E31" s="4">
        <f t="shared" si="0"/>
        <v>-315</v>
      </c>
      <c r="F31" s="2">
        <f t="shared" si="1"/>
        <v>585</v>
      </c>
    </row>
    <row r="32" spans="1:6" ht="15.75" thickBot="1" x14ac:dyDescent="0.25">
      <c r="A32" s="3">
        <v>30</v>
      </c>
      <c r="B32" s="5" t="s">
        <v>64</v>
      </c>
      <c r="C32" s="5" t="s">
        <v>49</v>
      </c>
      <c r="D32" s="5" t="s">
        <v>12</v>
      </c>
      <c r="E32" s="4">
        <f t="shared" si="0"/>
        <v>-326.25</v>
      </c>
      <c r="F32" s="2">
        <f t="shared" si="1"/>
        <v>596.25</v>
      </c>
    </row>
    <row r="33" spans="1:6" ht="15.75" thickBot="1" x14ac:dyDescent="0.25">
      <c r="A33" s="3">
        <v>31</v>
      </c>
      <c r="B33" s="5" t="s">
        <v>65</v>
      </c>
      <c r="C33" s="5" t="s">
        <v>47</v>
      </c>
      <c r="D33" s="5" t="s">
        <v>9</v>
      </c>
      <c r="E33" s="4">
        <f t="shared" si="0"/>
        <v>-337.5</v>
      </c>
      <c r="F33" s="2">
        <f t="shared" si="1"/>
        <v>607.5</v>
      </c>
    </row>
    <row r="34" spans="1:6" ht="15.75" thickBot="1" x14ac:dyDescent="0.25">
      <c r="A34" s="3">
        <v>32</v>
      </c>
      <c r="B34" s="5" t="s">
        <v>66</v>
      </c>
      <c r="C34" s="5" t="s">
        <v>45</v>
      </c>
      <c r="D34" s="5" t="s">
        <v>6</v>
      </c>
      <c r="E34" s="4">
        <f t="shared" si="0"/>
        <v>-348.75</v>
      </c>
      <c r="F34" s="2">
        <f t="shared" si="1"/>
        <v>618.75</v>
      </c>
    </row>
    <row r="40" spans="1:6" ht="15.75" thickBot="1" x14ac:dyDescent="0.25">
      <c r="A40" s="2" t="s">
        <v>239</v>
      </c>
    </row>
    <row r="41" spans="1:6" ht="15.75" thickBot="1" x14ac:dyDescent="0.25">
      <c r="A41" s="6">
        <v>1</v>
      </c>
      <c r="B41" s="6" t="s">
        <v>161</v>
      </c>
      <c r="C41" s="6" t="s">
        <v>240</v>
      </c>
      <c r="D41" s="6" t="s">
        <v>241</v>
      </c>
      <c r="E41" s="4" t="str">
        <f>MID(C41,5,10)</f>
        <v>161.2500</v>
      </c>
      <c r="F41" s="4" t="str">
        <f>MID(D41,5,10)</f>
        <v>80.5144</v>
      </c>
    </row>
    <row r="42" spans="1:6" ht="15.75" thickBot="1" x14ac:dyDescent="0.25">
      <c r="A42" s="6">
        <v>2</v>
      </c>
      <c r="B42" s="6" t="s">
        <v>178</v>
      </c>
      <c r="C42" s="6" t="s">
        <v>242</v>
      </c>
      <c r="D42" s="6" t="s">
        <v>243</v>
      </c>
      <c r="E42" s="4" t="str">
        <f t="shared" ref="E42:F48" si="2">MID(C42,5,10)</f>
        <v>171.7333</v>
      </c>
      <c r="F42" s="4" t="str">
        <f t="shared" ref="F42:F48" si="3">MID(D42,5,10)</f>
        <v>94.1766</v>
      </c>
    </row>
    <row r="43" spans="1:6" ht="15.75" thickBot="1" x14ac:dyDescent="0.25">
      <c r="A43" s="6">
        <v>3</v>
      </c>
      <c r="B43" s="6" t="s">
        <v>191</v>
      </c>
      <c r="C43" s="6" t="s">
        <v>244</v>
      </c>
      <c r="D43" s="6" t="s">
        <v>245</v>
      </c>
      <c r="E43" s="4" t="str">
        <f t="shared" si="2"/>
        <v>169.4856</v>
      </c>
      <c r="F43" s="4" t="str">
        <f t="shared" si="3"/>
        <v>111.2500</v>
      </c>
    </row>
    <row r="44" spans="1:6" ht="15.75" thickBot="1" x14ac:dyDescent="0.25">
      <c r="A44" s="6">
        <v>4</v>
      </c>
      <c r="B44" s="6" t="s">
        <v>202</v>
      </c>
      <c r="C44" s="6" t="s">
        <v>246</v>
      </c>
      <c r="D44" s="6" t="s">
        <v>247</v>
      </c>
      <c r="E44" s="4" t="str">
        <f t="shared" si="2"/>
        <v>155.8234</v>
      </c>
      <c r="F44" s="4" t="str">
        <f t="shared" si="3"/>
        <v>121.7333</v>
      </c>
    </row>
    <row r="45" spans="1:6" ht="15.75" thickBot="1" x14ac:dyDescent="0.25">
      <c r="A45" s="6">
        <v>5</v>
      </c>
      <c r="B45" s="6" t="s">
        <v>213</v>
      </c>
      <c r="C45" s="6" t="s">
        <v>248</v>
      </c>
      <c r="D45" s="6" t="s">
        <v>249</v>
      </c>
      <c r="E45" s="4" t="str">
        <f t="shared" si="2"/>
        <v>138.7500</v>
      </c>
      <c r="F45" s="4" t="str">
        <f t="shared" si="3"/>
        <v>119.4856</v>
      </c>
    </row>
    <row r="46" spans="1:6" ht="15.75" thickBot="1" x14ac:dyDescent="0.25">
      <c r="A46" s="6">
        <v>6</v>
      </c>
      <c r="B46" s="6" t="s">
        <v>224</v>
      </c>
      <c r="C46" s="6" t="s">
        <v>250</v>
      </c>
      <c r="D46" s="6" t="s">
        <v>251</v>
      </c>
      <c r="E46" s="4" t="str">
        <f t="shared" si="2"/>
        <v>128.2667</v>
      </c>
      <c r="F46" s="4" t="str">
        <f t="shared" si="3"/>
        <v>105.8234</v>
      </c>
    </row>
    <row r="47" spans="1:6" ht="15.75" thickBot="1" x14ac:dyDescent="0.25">
      <c r="A47" s="6">
        <v>7</v>
      </c>
      <c r="B47" s="6" t="s">
        <v>232</v>
      </c>
      <c r="C47" s="6" t="s">
        <v>252</v>
      </c>
      <c r="D47" s="6" t="s">
        <v>253</v>
      </c>
      <c r="E47" s="4" t="str">
        <f t="shared" si="2"/>
        <v>130.5144</v>
      </c>
      <c r="F47" s="4" t="str">
        <f t="shared" si="2"/>
        <v>88.7500</v>
      </c>
    </row>
    <row r="48" spans="1:6" ht="15.75" thickBot="1" x14ac:dyDescent="0.25">
      <c r="A48" s="6">
        <v>8</v>
      </c>
      <c r="B48" s="6" t="s">
        <v>237</v>
      </c>
      <c r="C48" s="6" t="s">
        <v>254</v>
      </c>
      <c r="D48" s="6" t="s">
        <v>255</v>
      </c>
      <c r="E48" s="4" t="str">
        <f t="shared" si="2"/>
        <v>144.1766</v>
      </c>
      <c r="F48" s="4" t="str">
        <f t="shared" si="3"/>
        <v>78.2667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opLeftCell="A43" workbookViewId="0">
      <selection activeCell="F58" sqref="F58"/>
    </sheetView>
  </sheetViews>
  <sheetFormatPr baseColWidth="10" defaultColWidth="16" defaultRowHeight="15" x14ac:dyDescent="0.2"/>
  <cols>
    <col min="1" max="1" width="16" style="2"/>
    <col min="2" max="5" width="16" style="4"/>
    <col min="6" max="16384" width="16" style="2"/>
  </cols>
  <sheetData>
    <row r="1" spans="1:6" ht="15.75" x14ac:dyDescent="0.2">
      <c r="A1" s="1" t="s">
        <v>0</v>
      </c>
      <c r="E1" s="4">
        <v>9</v>
      </c>
      <c r="F1" s="2">
        <v>270</v>
      </c>
    </row>
    <row r="2" spans="1:6" ht="16.5" thickBot="1" x14ac:dyDescent="0.25">
      <c r="A2" s="1"/>
      <c r="E2" s="4" t="s">
        <v>67</v>
      </c>
      <c r="F2" s="2" t="s">
        <v>68</v>
      </c>
    </row>
    <row r="3" spans="1:6" ht="15.75" thickBot="1" x14ac:dyDescent="0.25">
      <c r="A3" s="6">
        <v>1</v>
      </c>
      <c r="B3" s="6" t="s">
        <v>69</v>
      </c>
      <c r="C3" s="6" t="s">
        <v>2</v>
      </c>
      <c r="D3" s="6" t="s">
        <v>70</v>
      </c>
      <c r="E3" s="4">
        <v>0</v>
      </c>
      <c r="F3" s="2">
        <f>$F$1-E3</f>
        <v>270</v>
      </c>
    </row>
    <row r="4" spans="1:6" ht="15.75" thickBot="1" x14ac:dyDescent="0.25">
      <c r="A4" s="6">
        <v>2</v>
      </c>
      <c r="B4" s="6" t="s">
        <v>71</v>
      </c>
      <c r="C4" s="6" t="s">
        <v>72</v>
      </c>
      <c r="D4" s="6" t="s">
        <v>73</v>
      </c>
      <c r="E4" s="4">
        <f>E3-$E$1</f>
        <v>-9</v>
      </c>
      <c r="F4" s="2">
        <f>$F$1-E4</f>
        <v>279</v>
      </c>
    </row>
    <row r="5" spans="1:6" ht="15.75" thickBot="1" x14ac:dyDescent="0.25">
      <c r="A5" s="6">
        <v>3</v>
      </c>
      <c r="B5" s="6" t="s">
        <v>74</v>
      </c>
      <c r="C5" s="6" t="s">
        <v>75</v>
      </c>
      <c r="D5" s="6" t="s">
        <v>76</v>
      </c>
      <c r="E5" s="4">
        <f t="shared" ref="E5:E42" si="0">E4-$E$1</f>
        <v>-18</v>
      </c>
      <c r="F5" s="2">
        <f>$F$1-E5</f>
        <v>288</v>
      </c>
    </row>
    <row r="6" spans="1:6" ht="15.75" thickBot="1" x14ac:dyDescent="0.25">
      <c r="A6" s="6">
        <v>4</v>
      </c>
      <c r="B6" s="6" t="s">
        <v>77</v>
      </c>
      <c r="C6" s="6" t="s">
        <v>78</v>
      </c>
      <c r="D6" s="6" t="s">
        <v>79</v>
      </c>
      <c r="E6" s="4">
        <f t="shared" si="0"/>
        <v>-27</v>
      </c>
      <c r="F6" s="2">
        <f>$F$1-E6</f>
        <v>297</v>
      </c>
    </row>
    <row r="7" spans="1:6" ht="15.75" thickBot="1" x14ac:dyDescent="0.25">
      <c r="A7" s="6">
        <v>5</v>
      </c>
      <c r="B7" s="6" t="s">
        <v>80</v>
      </c>
      <c r="C7" s="6" t="s">
        <v>81</v>
      </c>
      <c r="D7" s="6" t="s">
        <v>82</v>
      </c>
      <c r="E7" s="4">
        <f t="shared" si="0"/>
        <v>-36</v>
      </c>
      <c r="F7" s="2">
        <f t="shared" ref="F7:F34" si="1">$F$1-E7</f>
        <v>306</v>
      </c>
    </row>
    <row r="8" spans="1:6" ht="15.75" thickBot="1" x14ac:dyDescent="0.25">
      <c r="A8" s="6">
        <v>6</v>
      </c>
      <c r="B8" s="6" t="s">
        <v>83</v>
      </c>
      <c r="C8" s="6" t="s">
        <v>84</v>
      </c>
      <c r="D8" s="6" t="s">
        <v>85</v>
      </c>
      <c r="E8" s="4">
        <f t="shared" si="0"/>
        <v>-45</v>
      </c>
      <c r="F8" s="2">
        <f t="shared" si="1"/>
        <v>315</v>
      </c>
    </row>
    <row r="9" spans="1:6" ht="15.75" thickBot="1" x14ac:dyDescent="0.25">
      <c r="A9" s="6">
        <v>7</v>
      </c>
      <c r="B9" s="6" t="s">
        <v>86</v>
      </c>
      <c r="C9" s="6" t="s">
        <v>87</v>
      </c>
      <c r="D9" s="6" t="s">
        <v>88</v>
      </c>
      <c r="E9" s="4">
        <f t="shared" si="0"/>
        <v>-54</v>
      </c>
      <c r="F9" s="2">
        <f t="shared" si="1"/>
        <v>324</v>
      </c>
    </row>
    <row r="10" spans="1:6" ht="15.75" thickBot="1" x14ac:dyDescent="0.25">
      <c r="A10" s="6">
        <v>8</v>
      </c>
      <c r="B10" s="6" t="s">
        <v>89</v>
      </c>
      <c r="C10" s="6" t="s">
        <v>90</v>
      </c>
      <c r="D10" s="6" t="s">
        <v>91</v>
      </c>
      <c r="E10" s="4">
        <f t="shared" si="0"/>
        <v>-63</v>
      </c>
      <c r="F10" s="2">
        <f t="shared" si="1"/>
        <v>333</v>
      </c>
    </row>
    <row r="11" spans="1:6" ht="15.75" thickBot="1" x14ac:dyDescent="0.25">
      <c r="A11" s="6">
        <v>9</v>
      </c>
      <c r="B11" s="6" t="s">
        <v>92</v>
      </c>
      <c r="C11" s="6" t="s">
        <v>93</v>
      </c>
      <c r="D11" s="6" t="s">
        <v>94</v>
      </c>
      <c r="E11" s="4">
        <f t="shared" si="0"/>
        <v>-72</v>
      </c>
      <c r="F11" s="2">
        <f t="shared" si="1"/>
        <v>342</v>
      </c>
    </row>
    <row r="12" spans="1:6" ht="15.75" thickBot="1" x14ac:dyDescent="0.25">
      <c r="A12" s="6">
        <v>10</v>
      </c>
      <c r="B12" s="6" t="s">
        <v>95</v>
      </c>
      <c r="C12" s="6" t="s">
        <v>96</v>
      </c>
      <c r="D12" s="6" t="s">
        <v>97</v>
      </c>
      <c r="E12" s="4">
        <f t="shared" si="0"/>
        <v>-81</v>
      </c>
      <c r="F12" s="2">
        <f t="shared" si="1"/>
        <v>351</v>
      </c>
    </row>
    <row r="13" spans="1:6" ht="15.75" thickBot="1" x14ac:dyDescent="0.25">
      <c r="A13" s="6">
        <v>11</v>
      </c>
      <c r="B13" s="6" t="s">
        <v>98</v>
      </c>
      <c r="C13" s="6" t="s">
        <v>99</v>
      </c>
      <c r="D13" s="6" t="s">
        <v>27</v>
      </c>
      <c r="E13" s="4">
        <f t="shared" si="0"/>
        <v>-90</v>
      </c>
      <c r="F13" s="2">
        <f t="shared" si="1"/>
        <v>360</v>
      </c>
    </row>
    <row r="14" spans="1:6" ht="15.75" thickBot="1" x14ac:dyDescent="0.25">
      <c r="A14" s="6">
        <v>12</v>
      </c>
      <c r="B14" s="6" t="s">
        <v>100</v>
      </c>
      <c r="C14" s="6" t="s">
        <v>96</v>
      </c>
      <c r="D14" s="6" t="s">
        <v>101</v>
      </c>
      <c r="E14" s="4">
        <f t="shared" si="0"/>
        <v>-99</v>
      </c>
      <c r="F14" s="2">
        <f t="shared" si="1"/>
        <v>369</v>
      </c>
    </row>
    <row r="15" spans="1:6" ht="15.75" thickBot="1" x14ac:dyDescent="0.25">
      <c r="A15" s="6">
        <v>13</v>
      </c>
      <c r="B15" s="6" t="s">
        <v>102</v>
      </c>
      <c r="C15" s="6" t="s">
        <v>93</v>
      </c>
      <c r="D15" s="6" t="s">
        <v>103</v>
      </c>
      <c r="E15" s="4">
        <f t="shared" si="0"/>
        <v>-108</v>
      </c>
      <c r="F15" s="2">
        <f t="shared" si="1"/>
        <v>378</v>
      </c>
    </row>
    <row r="16" spans="1:6" ht="15.75" thickBot="1" x14ac:dyDescent="0.25">
      <c r="A16" s="6">
        <v>14</v>
      </c>
      <c r="B16" s="6" t="s">
        <v>104</v>
      </c>
      <c r="C16" s="6" t="s">
        <v>90</v>
      </c>
      <c r="D16" s="6" t="s">
        <v>105</v>
      </c>
      <c r="E16" s="4">
        <f t="shared" si="0"/>
        <v>-117</v>
      </c>
      <c r="F16" s="2">
        <f t="shared" si="1"/>
        <v>387</v>
      </c>
    </row>
    <row r="17" spans="1:6" ht="15.75" thickBot="1" x14ac:dyDescent="0.25">
      <c r="A17" s="6">
        <v>15</v>
      </c>
      <c r="B17" s="6" t="s">
        <v>106</v>
      </c>
      <c r="C17" s="6" t="s">
        <v>87</v>
      </c>
      <c r="D17" s="6" t="s">
        <v>107</v>
      </c>
      <c r="E17" s="4">
        <f t="shared" si="0"/>
        <v>-126</v>
      </c>
      <c r="F17" s="2">
        <f t="shared" si="1"/>
        <v>396</v>
      </c>
    </row>
    <row r="18" spans="1:6" ht="15.75" thickBot="1" x14ac:dyDescent="0.25">
      <c r="A18" s="6">
        <v>16</v>
      </c>
      <c r="B18" s="6" t="s">
        <v>108</v>
      </c>
      <c r="C18" s="6" t="s">
        <v>84</v>
      </c>
      <c r="D18" s="6" t="s">
        <v>109</v>
      </c>
      <c r="E18" s="4">
        <f t="shared" si="0"/>
        <v>-135</v>
      </c>
      <c r="F18" s="2">
        <f t="shared" si="1"/>
        <v>405</v>
      </c>
    </row>
    <row r="19" spans="1:6" ht="15.75" thickBot="1" x14ac:dyDescent="0.25">
      <c r="A19" s="6">
        <v>17</v>
      </c>
      <c r="B19" s="6" t="s">
        <v>110</v>
      </c>
      <c r="C19" s="6" t="s">
        <v>81</v>
      </c>
      <c r="D19" s="6" t="s">
        <v>111</v>
      </c>
      <c r="E19" s="4">
        <f t="shared" si="0"/>
        <v>-144</v>
      </c>
      <c r="F19" s="2">
        <f t="shared" si="1"/>
        <v>414</v>
      </c>
    </row>
    <row r="20" spans="1:6" ht="15.75" thickBot="1" x14ac:dyDescent="0.25">
      <c r="A20" s="6">
        <v>18</v>
      </c>
      <c r="B20" s="6" t="s">
        <v>112</v>
      </c>
      <c r="C20" s="6" t="s">
        <v>78</v>
      </c>
      <c r="D20" s="6" t="s">
        <v>113</v>
      </c>
      <c r="E20" s="4">
        <f t="shared" si="0"/>
        <v>-153</v>
      </c>
      <c r="F20" s="2">
        <f t="shared" si="1"/>
        <v>423</v>
      </c>
    </row>
    <row r="21" spans="1:6" ht="15.75" thickBot="1" x14ac:dyDescent="0.25">
      <c r="A21" s="6">
        <v>19</v>
      </c>
      <c r="B21" s="6" t="s">
        <v>114</v>
      </c>
      <c r="C21" s="6" t="s">
        <v>75</v>
      </c>
      <c r="D21" s="6" t="s">
        <v>115</v>
      </c>
      <c r="E21" s="4">
        <f t="shared" si="0"/>
        <v>-162</v>
      </c>
      <c r="F21" s="2">
        <f t="shared" si="1"/>
        <v>432</v>
      </c>
    </row>
    <row r="22" spans="1:6" ht="15.75" thickBot="1" x14ac:dyDescent="0.25">
      <c r="A22" s="6">
        <v>20</v>
      </c>
      <c r="B22" s="6" t="s">
        <v>116</v>
      </c>
      <c r="C22" s="6" t="s">
        <v>72</v>
      </c>
      <c r="D22" s="6" t="s">
        <v>117</v>
      </c>
      <c r="E22" s="4">
        <f t="shared" si="0"/>
        <v>-171</v>
      </c>
      <c r="F22" s="2">
        <f t="shared" si="1"/>
        <v>441</v>
      </c>
    </row>
    <row r="23" spans="1:6" ht="15.75" thickBot="1" x14ac:dyDescent="0.25">
      <c r="A23" s="6">
        <v>21</v>
      </c>
      <c r="B23" s="6" t="s">
        <v>118</v>
      </c>
      <c r="C23" s="6" t="s">
        <v>2</v>
      </c>
      <c r="D23" s="6" t="s">
        <v>119</v>
      </c>
      <c r="E23" s="4">
        <f t="shared" si="0"/>
        <v>-180</v>
      </c>
      <c r="F23" s="2">
        <f t="shared" si="1"/>
        <v>450</v>
      </c>
    </row>
    <row r="24" spans="1:6" ht="15.75" thickBot="1" x14ac:dyDescent="0.25">
      <c r="A24" s="6">
        <v>22</v>
      </c>
      <c r="B24" s="6" t="s">
        <v>120</v>
      </c>
      <c r="C24" s="6" t="s">
        <v>121</v>
      </c>
      <c r="D24" s="6" t="s">
        <v>117</v>
      </c>
      <c r="E24" s="4">
        <f t="shared" si="0"/>
        <v>-189</v>
      </c>
      <c r="F24" s="2">
        <f t="shared" si="1"/>
        <v>459</v>
      </c>
    </row>
    <row r="25" spans="1:6" ht="15.75" thickBot="1" x14ac:dyDescent="0.25">
      <c r="A25" s="6">
        <v>23</v>
      </c>
      <c r="B25" s="6" t="s">
        <v>122</v>
      </c>
      <c r="C25" s="6" t="s">
        <v>123</v>
      </c>
      <c r="D25" s="6" t="s">
        <v>115</v>
      </c>
      <c r="E25" s="4">
        <f t="shared" si="0"/>
        <v>-198</v>
      </c>
      <c r="F25" s="2">
        <f t="shared" si="1"/>
        <v>468</v>
      </c>
    </row>
    <row r="26" spans="1:6" ht="15.75" thickBot="1" x14ac:dyDescent="0.25">
      <c r="A26" s="6">
        <v>24</v>
      </c>
      <c r="B26" s="6" t="s">
        <v>124</v>
      </c>
      <c r="C26" s="6" t="s">
        <v>125</v>
      </c>
      <c r="D26" s="6" t="s">
        <v>113</v>
      </c>
      <c r="E26" s="4">
        <f t="shared" si="0"/>
        <v>-207</v>
      </c>
      <c r="F26" s="2">
        <f t="shared" si="1"/>
        <v>477</v>
      </c>
    </row>
    <row r="27" spans="1:6" ht="15.75" thickBot="1" x14ac:dyDescent="0.25">
      <c r="A27" s="6">
        <v>25</v>
      </c>
      <c r="B27" s="6" t="s">
        <v>126</v>
      </c>
      <c r="C27" s="6" t="s">
        <v>127</v>
      </c>
      <c r="D27" s="6" t="s">
        <v>111</v>
      </c>
      <c r="E27" s="4">
        <f t="shared" si="0"/>
        <v>-216</v>
      </c>
      <c r="F27" s="2">
        <f t="shared" si="1"/>
        <v>486</v>
      </c>
    </row>
    <row r="28" spans="1:6" ht="15.75" thickBot="1" x14ac:dyDescent="0.25">
      <c r="A28" s="6">
        <v>26</v>
      </c>
      <c r="B28" s="6" t="s">
        <v>128</v>
      </c>
      <c r="C28" s="6" t="s">
        <v>129</v>
      </c>
      <c r="D28" s="6" t="s">
        <v>109</v>
      </c>
      <c r="E28" s="4">
        <f t="shared" si="0"/>
        <v>-225</v>
      </c>
      <c r="F28" s="2">
        <f t="shared" si="1"/>
        <v>495</v>
      </c>
    </row>
    <row r="29" spans="1:6" ht="15.75" thickBot="1" x14ac:dyDescent="0.25">
      <c r="A29" s="6">
        <v>27</v>
      </c>
      <c r="B29" s="6" t="s">
        <v>130</v>
      </c>
      <c r="C29" s="6" t="s">
        <v>131</v>
      </c>
      <c r="D29" s="6" t="s">
        <v>107</v>
      </c>
      <c r="E29" s="4">
        <f t="shared" si="0"/>
        <v>-234</v>
      </c>
      <c r="F29" s="2">
        <f t="shared" si="1"/>
        <v>504</v>
      </c>
    </row>
    <row r="30" spans="1:6" ht="15.75" thickBot="1" x14ac:dyDescent="0.25">
      <c r="A30" s="6">
        <v>28</v>
      </c>
      <c r="B30" s="6" t="s">
        <v>132</v>
      </c>
      <c r="C30" s="6" t="s">
        <v>133</v>
      </c>
      <c r="D30" s="6" t="s">
        <v>105</v>
      </c>
      <c r="E30" s="4">
        <f t="shared" si="0"/>
        <v>-243</v>
      </c>
      <c r="F30" s="2">
        <f t="shared" si="1"/>
        <v>513</v>
      </c>
    </row>
    <row r="31" spans="1:6" ht="15.75" thickBot="1" x14ac:dyDescent="0.25">
      <c r="A31" s="6">
        <v>29</v>
      </c>
      <c r="B31" s="6" t="s">
        <v>134</v>
      </c>
      <c r="C31" s="6" t="s">
        <v>135</v>
      </c>
      <c r="D31" s="6" t="s">
        <v>103</v>
      </c>
      <c r="E31" s="4">
        <f t="shared" si="0"/>
        <v>-252</v>
      </c>
      <c r="F31" s="2">
        <f t="shared" si="1"/>
        <v>522</v>
      </c>
    </row>
    <row r="32" spans="1:6" ht="15.75" thickBot="1" x14ac:dyDescent="0.25">
      <c r="A32" s="6">
        <v>30</v>
      </c>
      <c r="B32" s="6" t="s">
        <v>136</v>
      </c>
      <c r="C32" s="6" t="s">
        <v>137</v>
      </c>
      <c r="D32" s="6" t="s">
        <v>101</v>
      </c>
      <c r="E32" s="4">
        <f t="shared" si="0"/>
        <v>-261</v>
      </c>
      <c r="F32" s="2">
        <f t="shared" si="1"/>
        <v>531</v>
      </c>
    </row>
    <row r="33" spans="1:7" ht="15.75" thickBot="1" x14ac:dyDescent="0.25">
      <c r="A33" s="6">
        <v>31</v>
      </c>
      <c r="B33" s="6" t="s">
        <v>138</v>
      </c>
      <c r="C33" s="6" t="s">
        <v>139</v>
      </c>
      <c r="D33" s="6" t="s">
        <v>27</v>
      </c>
      <c r="E33" s="4">
        <f t="shared" si="0"/>
        <v>-270</v>
      </c>
      <c r="F33" s="2">
        <f t="shared" si="1"/>
        <v>540</v>
      </c>
    </row>
    <row r="34" spans="1:7" ht="15.75" thickBot="1" x14ac:dyDescent="0.25">
      <c r="A34" s="6">
        <v>32</v>
      </c>
      <c r="B34" s="6" t="s">
        <v>140</v>
      </c>
      <c r="C34" s="6" t="s">
        <v>137</v>
      </c>
      <c r="D34" s="6" t="s">
        <v>97</v>
      </c>
      <c r="E34" s="4">
        <f t="shared" si="0"/>
        <v>-279</v>
      </c>
      <c r="F34" s="2">
        <f t="shared" si="1"/>
        <v>549</v>
      </c>
    </row>
    <row r="35" spans="1:7" ht="15.75" thickBot="1" x14ac:dyDescent="0.25">
      <c r="A35" s="6">
        <v>33</v>
      </c>
      <c r="B35" s="6" t="s">
        <v>141</v>
      </c>
      <c r="C35" s="6" t="s">
        <v>135</v>
      </c>
      <c r="D35" s="6" t="s">
        <v>94</v>
      </c>
      <c r="E35" s="4">
        <f t="shared" si="0"/>
        <v>-288</v>
      </c>
      <c r="F35" s="2">
        <f t="shared" ref="F35:F42" si="2">$F$1-E35</f>
        <v>558</v>
      </c>
    </row>
    <row r="36" spans="1:7" ht="15.75" thickBot="1" x14ac:dyDescent="0.25">
      <c r="A36" s="6">
        <v>34</v>
      </c>
      <c r="B36" s="6" t="s">
        <v>142</v>
      </c>
      <c r="C36" s="6" t="s">
        <v>133</v>
      </c>
      <c r="D36" s="6" t="s">
        <v>91</v>
      </c>
      <c r="E36" s="4">
        <f t="shared" si="0"/>
        <v>-297</v>
      </c>
      <c r="F36" s="2">
        <f t="shared" si="2"/>
        <v>567</v>
      </c>
    </row>
    <row r="37" spans="1:7" ht="15.75" thickBot="1" x14ac:dyDescent="0.25">
      <c r="A37" s="6">
        <v>35</v>
      </c>
      <c r="B37" s="6" t="s">
        <v>143</v>
      </c>
      <c r="C37" s="6" t="s">
        <v>131</v>
      </c>
      <c r="D37" s="6" t="s">
        <v>88</v>
      </c>
      <c r="E37" s="4">
        <f t="shared" si="0"/>
        <v>-306</v>
      </c>
      <c r="F37" s="2">
        <f t="shared" si="2"/>
        <v>576</v>
      </c>
    </row>
    <row r="38" spans="1:7" ht="15.75" thickBot="1" x14ac:dyDescent="0.25">
      <c r="A38" s="6">
        <v>36</v>
      </c>
      <c r="B38" s="6" t="s">
        <v>144</v>
      </c>
      <c r="C38" s="6" t="s">
        <v>129</v>
      </c>
      <c r="D38" s="6" t="s">
        <v>85</v>
      </c>
      <c r="E38" s="4">
        <f t="shared" si="0"/>
        <v>-315</v>
      </c>
      <c r="F38" s="2">
        <f t="shared" si="2"/>
        <v>585</v>
      </c>
    </row>
    <row r="39" spans="1:7" ht="15.75" thickBot="1" x14ac:dyDescent="0.25">
      <c r="A39" s="6">
        <v>37</v>
      </c>
      <c r="B39" s="6" t="s">
        <v>145</v>
      </c>
      <c r="C39" s="6" t="s">
        <v>127</v>
      </c>
      <c r="D39" s="6" t="s">
        <v>82</v>
      </c>
      <c r="E39" s="4">
        <f t="shared" si="0"/>
        <v>-324</v>
      </c>
      <c r="F39" s="2">
        <f t="shared" si="2"/>
        <v>594</v>
      </c>
    </row>
    <row r="40" spans="1:7" ht="15.75" thickBot="1" x14ac:dyDescent="0.25">
      <c r="A40" s="6">
        <v>38</v>
      </c>
      <c r="B40" s="6" t="s">
        <v>146</v>
      </c>
      <c r="C40" s="6" t="s">
        <v>125</v>
      </c>
      <c r="D40" s="6" t="s">
        <v>79</v>
      </c>
      <c r="E40" s="4">
        <f t="shared" si="0"/>
        <v>-333</v>
      </c>
      <c r="F40" s="2">
        <f t="shared" si="2"/>
        <v>603</v>
      </c>
    </row>
    <row r="41" spans="1:7" ht="15.75" thickBot="1" x14ac:dyDescent="0.25">
      <c r="A41" s="6">
        <v>39</v>
      </c>
      <c r="B41" s="6" t="s">
        <v>147</v>
      </c>
      <c r="C41" s="6" t="s">
        <v>123</v>
      </c>
      <c r="D41" s="6" t="s">
        <v>76</v>
      </c>
      <c r="E41" s="4">
        <f t="shared" si="0"/>
        <v>-342</v>
      </c>
      <c r="F41" s="2">
        <f t="shared" si="2"/>
        <v>612</v>
      </c>
    </row>
    <row r="42" spans="1:7" ht="15.75" thickBot="1" x14ac:dyDescent="0.25">
      <c r="A42" s="6">
        <v>40</v>
      </c>
      <c r="B42" s="6" t="s">
        <v>148</v>
      </c>
      <c r="C42" s="6" t="s">
        <v>121</v>
      </c>
      <c r="D42" s="6" t="s">
        <v>73</v>
      </c>
      <c r="E42" s="4">
        <f t="shared" si="0"/>
        <v>-351</v>
      </c>
      <c r="F42" s="2">
        <f t="shared" si="2"/>
        <v>621</v>
      </c>
    </row>
    <row r="48" spans="1:7" ht="15.75" thickBot="1" x14ac:dyDescent="0.25">
      <c r="G48" s="4">
        <v>45</v>
      </c>
    </row>
    <row r="49" spans="1:7" ht="15.75" thickBot="1" x14ac:dyDescent="0.25">
      <c r="A49" s="6">
        <v>1</v>
      </c>
      <c r="B49" s="6" t="s">
        <v>161</v>
      </c>
      <c r="C49" s="6" t="s">
        <v>256</v>
      </c>
      <c r="D49" s="6" t="s">
        <v>257</v>
      </c>
      <c r="E49" s="4" t="str">
        <f>MID(C49,5,10)</f>
        <v>164.5000</v>
      </c>
      <c r="F49" s="4" t="str">
        <f>MID(D49,5,10)</f>
        <v>74.8853</v>
      </c>
      <c r="G49" s="4">
        <v>0</v>
      </c>
    </row>
    <row r="50" spans="1:7" ht="15.75" thickBot="1" x14ac:dyDescent="0.25">
      <c r="A50" s="6">
        <v>2</v>
      </c>
      <c r="B50" s="6" t="s">
        <v>258</v>
      </c>
      <c r="C50" s="6" t="s">
        <v>259</v>
      </c>
      <c r="D50" s="6" t="s">
        <v>260</v>
      </c>
      <c r="E50" s="4" t="str">
        <f t="shared" ref="E50:E58" si="3">MID(C50,5,10)</f>
        <v>176.4928</v>
      </c>
      <c r="F50" s="4" t="str">
        <f t="shared" ref="F50:F58" si="4">MID(D50,5,10)</f>
        <v>88.2046</v>
      </c>
      <c r="G50" s="4">
        <f>G49-$G$48</f>
        <v>-45</v>
      </c>
    </row>
    <row r="51" spans="1:7" ht="15.75" thickBot="1" x14ac:dyDescent="0.25">
      <c r="A51" s="6">
        <v>3</v>
      </c>
      <c r="B51" s="6" t="s">
        <v>261</v>
      </c>
      <c r="C51" s="6" t="s">
        <v>262</v>
      </c>
      <c r="D51" s="6" t="s">
        <v>263</v>
      </c>
      <c r="E51" s="4" t="str">
        <f t="shared" si="3"/>
        <v>178.3663</v>
      </c>
      <c r="F51" s="4" t="str">
        <f t="shared" si="4"/>
        <v>106.0294</v>
      </c>
      <c r="G51" s="4"/>
    </row>
    <row r="52" spans="1:7" ht="15.75" thickBot="1" x14ac:dyDescent="0.25">
      <c r="A52" s="6">
        <v>4</v>
      </c>
      <c r="B52" s="6" t="s">
        <v>264</v>
      </c>
      <c r="C52" s="6" t="s">
        <v>265</v>
      </c>
      <c r="D52" s="6" t="s">
        <v>266</v>
      </c>
      <c r="E52" s="4" t="str">
        <f t="shared" si="3"/>
        <v>169.4048</v>
      </c>
      <c r="F52" s="4" t="str">
        <f t="shared" si="4"/>
        <v>121.5512</v>
      </c>
      <c r="G52" s="4"/>
    </row>
    <row r="53" spans="1:7" ht="15.75" thickBot="1" x14ac:dyDescent="0.25">
      <c r="A53" s="6">
        <v>5</v>
      </c>
      <c r="B53" s="6" t="s">
        <v>267</v>
      </c>
      <c r="C53" s="6" t="s">
        <v>268</v>
      </c>
      <c r="D53" s="6" t="s">
        <v>269</v>
      </c>
      <c r="E53" s="4" t="str">
        <f t="shared" si="3"/>
        <v>153.0313</v>
      </c>
      <c r="F53" s="4" t="str">
        <f t="shared" si="4"/>
        <v>128.8411</v>
      </c>
      <c r="G53" s="4"/>
    </row>
    <row r="54" spans="1:7" ht="15.75" thickBot="1" x14ac:dyDescent="0.25">
      <c r="A54" s="6">
        <v>6</v>
      </c>
      <c r="B54" s="6" t="s">
        <v>213</v>
      </c>
      <c r="C54" s="6" t="s">
        <v>270</v>
      </c>
      <c r="D54" s="6" t="s">
        <v>271</v>
      </c>
      <c r="E54" s="4" t="str">
        <f t="shared" si="3"/>
        <v>135.5000</v>
      </c>
      <c r="F54" s="4" t="str">
        <f t="shared" si="4"/>
        <v>125.1147</v>
      </c>
      <c r="G54" s="4"/>
    </row>
    <row r="55" spans="1:7" ht="15.75" thickBot="1" x14ac:dyDescent="0.25">
      <c r="A55" s="6">
        <v>7</v>
      </c>
      <c r="B55" s="6" t="s">
        <v>272</v>
      </c>
      <c r="C55" s="6" t="s">
        <v>273</v>
      </c>
      <c r="D55" s="6" t="s">
        <v>274</v>
      </c>
      <c r="E55" s="4" t="str">
        <f t="shared" si="3"/>
        <v>123.5072</v>
      </c>
      <c r="F55" s="4" t="str">
        <f t="shared" si="4"/>
        <v>111.7954</v>
      </c>
      <c r="G55" s="4"/>
    </row>
    <row r="56" spans="1:7" ht="15.75" thickBot="1" x14ac:dyDescent="0.25">
      <c r="A56" s="6">
        <v>8</v>
      </c>
      <c r="B56" s="6" t="s">
        <v>275</v>
      </c>
      <c r="C56" s="6" t="s">
        <v>276</v>
      </c>
      <c r="D56" s="6" t="s">
        <v>277</v>
      </c>
      <c r="E56" s="4" t="str">
        <f t="shared" si="3"/>
        <v>121.6337</v>
      </c>
      <c r="F56" s="4" t="str">
        <f t="shared" si="4"/>
        <v>93.9706</v>
      </c>
      <c r="G56" s="4"/>
    </row>
    <row r="57" spans="1:7" ht="15.75" thickBot="1" x14ac:dyDescent="0.25">
      <c r="A57" s="6">
        <v>9</v>
      </c>
      <c r="B57" s="6" t="s">
        <v>278</v>
      </c>
      <c r="C57" s="6" t="s">
        <v>279</v>
      </c>
      <c r="D57" s="6" t="s">
        <v>280</v>
      </c>
      <c r="E57" s="4" t="str">
        <f t="shared" si="3"/>
        <v>130.5952</v>
      </c>
      <c r="F57" s="4" t="str">
        <f t="shared" si="4"/>
        <v>78.4488</v>
      </c>
      <c r="G57" s="4"/>
    </row>
    <row r="58" spans="1:7" ht="15.75" thickBot="1" x14ac:dyDescent="0.25">
      <c r="A58" s="6">
        <v>10</v>
      </c>
      <c r="B58" s="6" t="s">
        <v>281</v>
      </c>
      <c r="C58" s="6" t="s">
        <v>282</v>
      </c>
      <c r="D58" s="6" t="s">
        <v>283</v>
      </c>
      <c r="E58" s="4" t="str">
        <f t="shared" si="3"/>
        <v>146.9687</v>
      </c>
      <c r="F58" s="4" t="str">
        <f t="shared" si="4"/>
        <v>71.1589</v>
      </c>
      <c r="G58" s="4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selection activeCell="E3" sqref="E3:F3"/>
    </sheetView>
  </sheetViews>
  <sheetFormatPr baseColWidth="10" defaultColWidth="16" defaultRowHeight="15" x14ac:dyDescent="0.2"/>
  <cols>
    <col min="1" max="1" width="16" style="2"/>
    <col min="2" max="7" width="16" style="4"/>
    <col min="8" max="16384" width="16" style="2"/>
  </cols>
  <sheetData>
    <row r="1" spans="1:8" ht="15.75" x14ac:dyDescent="0.2">
      <c r="A1" s="1" t="s">
        <v>0</v>
      </c>
      <c r="G1" s="4">
        <v>7.5</v>
      </c>
      <c r="H1" s="2">
        <v>270</v>
      </c>
    </row>
    <row r="2" spans="1:8" ht="16.5" thickBot="1" x14ac:dyDescent="0.25">
      <c r="A2" s="1"/>
      <c r="G2" s="4" t="s">
        <v>67</v>
      </c>
      <c r="H2" s="2" t="s">
        <v>68</v>
      </c>
    </row>
    <row r="3" spans="1:8" ht="15.75" thickBot="1" x14ac:dyDescent="0.25">
      <c r="A3" s="6">
        <v>1</v>
      </c>
      <c r="B3" s="6" t="s">
        <v>69</v>
      </c>
      <c r="C3" s="6" t="s">
        <v>2</v>
      </c>
      <c r="D3" s="6" t="s">
        <v>151</v>
      </c>
      <c r="E3" s="4" t="str">
        <f>MID(C3,5,10)</f>
        <v>150.0000</v>
      </c>
      <c r="F3" s="4" t="str">
        <f>MID(D3,5,10)</f>
        <v>67.2000</v>
      </c>
      <c r="G3" s="4">
        <v>0</v>
      </c>
      <c r="H3" s="2">
        <f>$H$1-G3</f>
        <v>270</v>
      </c>
    </row>
    <row r="4" spans="1:8" ht="15.75" thickBot="1" x14ac:dyDescent="0.25">
      <c r="A4" s="6">
        <v>2</v>
      </c>
      <c r="B4" s="6" t="s">
        <v>152</v>
      </c>
      <c r="C4" s="6" t="s">
        <v>153</v>
      </c>
      <c r="D4" s="6" t="s">
        <v>154</v>
      </c>
      <c r="E4" s="4" t="str">
        <f t="shared" ref="E4:F50" si="0">MID(C4,5,10)</f>
        <v>154.2813</v>
      </c>
      <c r="F4" s="4" t="str">
        <f t="shared" ref="F4:F50" si="1">MID(D4,5,10)</f>
        <v>67.4806</v>
      </c>
      <c r="G4" s="4">
        <f>G3-$G$1</f>
        <v>-7.5</v>
      </c>
      <c r="H4" s="2">
        <f>$H$1-G4</f>
        <v>277.5</v>
      </c>
    </row>
    <row r="5" spans="1:8" ht="15.75" thickBot="1" x14ac:dyDescent="0.25">
      <c r="A5" s="6">
        <v>3</v>
      </c>
      <c r="B5" s="6" t="s">
        <v>155</v>
      </c>
      <c r="C5" s="6" t="s">
        <v>156</v>
      </c>
      <c r="D5" s="6" t="s">
        <v>157</v>
      </c>
      <c r="E5" s="4" t="str">
        <f t="shared" si="0"/>
        <v>158.4893</v>
      </c>
      <c r="F5" s="4" t="str">
        <f t="shared" si="1"/>
        <v>68.3176</v>
      </c>
      <c r="G5" s="4">
        <f t="shared" ref="G5:G50" si="2">G4-$G$1</f>
        <v>-15</v>
      </c>
      <c r="H5" s="2">
        <f>$H$1-G5</f>
        <v>285</v>
      </c>
    </row>
    <row r="6" spans="1:8" ht="15.75" thickBot="1" x14ac:dyDescent="0.25">
      <c r="A6" s="6">
        <v>4</v>
      </c>
      <c r="B6" s="6" t="s">
        <v>158</v>
      </c>
      <c r="C6" s="6" t="s">
        <v>159</v>
      </c>
      <c r="D6" s="6" t="s">
        <v>160</v>
      </c>
      <c r="E6" s="4" t="str">
        <f t="shared" si="0"/>
        <v>162.5520</v>
      </c>
      <c r="F6" s="4" t="str">
        <f t="shared" si="1"/>
        <v>69.6968</v>
      </c>
      <c r="G6" s="4">
        <f t="shared" si="2"/>
        <v>-22.5</v>
      </c>
      <c r="H6" s="2">
        <f>$H$1-G6</f>
        <v>292.5</v>
      </c>
    </row>
    <row r="7" spans="1:8" ht="15.75" thickBot="1" x14ac:dyDescent="0.25">
      <c r="A7" s="6">
        <v>5</v>
      </c>
      <c r="B7" s="6" t="s">
        <v>161</v>
      </c>
      <c r="C7" s="6" t="s">
        <v>162</v>
      </c>
      <c r="D7" s="6" t="s">
        <v>163</v>
      </c>
      <c r="E7" s="4" t="str">
        <f t="shared" si="0"/>
        <v>166.4000</v>
      </c>
      <c r="F7" s="4" t="str">
        <f t="shared" si="1"/>
        <v>71.5944</v>
      </c>
      <c r="G7" s="4">
        <f t="shared" si="2"/>
        <v>-30</v>
      </c>
      <c r="H7" s="2">
        <f t="shared" ref="H7:H42" si="3">$H$1-G7</f>
        <v>300</v>
      </c>
    </row>
    <row r="8" spans="1:8" ht="15.75" thickBot="1" x14ac:dyDescent="0.25">
      <c r="A8" s="6">
        <v>6</v>
      </c>
      <c r="B8" s="6" t="s">
        <v>164</v>
      </c>
      <c r="C8" s="6" t="s">
        <v>165</v>
      </c>
      <c r="D8" s="6" t="s">
        <v>166</v>
      </c>
      <c r="E8" s="4" t="str">
        <f t="shared" si="0"/>
        <v>169.9674</v>
      </c>
      <c r="F8" s="4" t="str">
        <f t="shared" si="1"/>
        <v>73.9780</v>
      </c>
      <c r="G8" s="4">
        <f t="shared" si="2"/>
        <v>-37.5</v>
      </c>
      <c r="H8" s="2">
        <f t="shared" si="3"/>
        <v>307.5</v>
      </c>
    </row>
    <row r="9" spans="1:8" ht="15.75" thickBot="1" x14ac:dyDescent="0.25">
      <c r="A9" s="6">
        <v>7</v>
      </c>
      <c r="B9" s="6" t="s">
        <v>83</v>
      </c>
      <c r="C9" s="6" t="s">
        <v>167</v>
      </c>
      <c r="D9" s="6" t="s">
        <v>168</v>
      </c>
      <c r="E9" s="4" t="str">
        <f t="shared" si="0"/>
        <v>173.1931</v>
      </c>
      <c r="F9" s="4" t="str">
        <f t="shared" si="1"/>
        <v>76.8069</v>
      </c>
      <c r="G9" s="4">
        <f t="shared" si="2"/>
        <v>-45</v>
      </c>
      <c r="H9" s="2">
        <f t="shared" si="3"/>
        <v>315</v>
      </c>
    </row>
    <row r="10" spans="1:8" ht="15.75" thickBot="1" x14ac:dyDescent="0.25">
      <c r="A10" s="6">
        <v>8</v>
      </c>
      <c r="B10" s="6" t="s">
        <v>169</v>
      </c>
      <c r="C10" s="6" t="s">
        <v>170</v>
      </c>
      <c r="D10" s="6" t="s">
        <v>171</v>
      </c>
      <c r="E10" s="4" t="str">
        <f t="shared" si="0"/>
        <v>176.0220</v>
      </c>
      <c r="F10" s="4" t="str">
        <f t="shared" si="0"/>
        <v>80.0326</v>
      </c>
      <c r="G10" s="4">
        <f t="shared" si="2"/>
        <v>-52.5</v>
      </c>
      <c r="H10" s="2">
        <f t="shared" si="3"/>
        <v>322.5</v>
      </c>
    </row>
    <row r="11" spans="1:8" ht="15.75" thickBot="1" x14ac:dyDescent="0.25">
      <c r="A11" s="6">
        <v>9</v>
      </c>
      <c r="B11" s="6" t="s">
        <v>172</v>
      </c>
      <c r="C11" s="6" t="s">
        <v>173</v>
      </c>
      <c r="D11" s="6" t="s">
        <v>174</v>
      </c>
      <c r="E11" s="4" t="str">
        <f t="shared" si="0"/>
        <v>178.4056</v>
      </c>
      <c r="F11" s="4" t="str">
        <f t="shared" si="1"/>
        <v>83.6000</v>
      </c>
      <c r="G11" s="4">
        <f t="shared" si="2"/>
        <v>-60</v>
      </c>
      <c r="H11" s="2">
        <f t="shared" si="3"/>
        <v>330</v>
      </c>
    </row>
    <row r="12" spans="1:8" ht="15.75" thickBot="1" x14ac:dyDescent="0.25">
      <c r="A12" s="6">
        <v>10</v>
      </c>
      <c r="B12" s="6" t="s">
        <v>175</v>
      </c>
      <c r="C12" s="6" t="s">
        <v>176</v>
      </c>
      <c r="D12" s="6" t="s">
        <v>177</v>
      </c>
      <c r="E12" s="4" t="str">
        <f t="shared" si="0"/>
        <v>180.3032</v>
      </c>
      <c r="F12" s="4" t="str">
        <f t="shared" si="1"/>
        <v>87.4480</v>
      </c>
      <c r="G12" s="4">
        <f t="shared" si="2"/>
        <v>-67.5</v>
      </c>
      <c r="H12" s="2">
        <f t="shared" si="3"/>
        <v>337.5</v>
      </c>
    </row>
    <row r="13" spans="1:8" ht="15.75" thickBot="1" x14ac:dyDescent="0.25">
      <c r="A13" s="6">
        <v>11</v>
      </c>
      <c r="B13" s="6" t="s">
        <v>178</v>
      </c>
      <c r="C13" s="6" t="s">
        <v>179</v>
      </c>
      <c r="D13" s="6" t="s">
        <v>180</v>
      </c>
      <c r="E13" s="4" t="str">
        <f t="shared" si="0"/>
        <v>181.6824</v>
      </c>
      <c r="F13" s="4" t="str">
        <f t="shared" si="1"/>
        <v>91.5107</v>
      </c>
      <c r="G13" s="4">
        <f t="shared" si="2"/>
        <v>-75</v>
      </c>
      <c r="H13" s="2">
        <f t="shared" si="3"/>
        <v>345</v>
      </c>
    </row>
    <row r="14" spans="1:8" ht="15.75" thickBot="1" x14ac:dyDescent="0.25">
      <c r="A14" s="6">
        <v>12</v>
      </c>
      <c r="B14" s="6" t="s">
        <v>181</v>
      </c>
      <c r="C14" s="6" t="s">
        <v>182</v>
      </c>
      <c r="D14" s="6" t="s">
        <v>183</v>
      </c>
      <c r="E14" s="4" t="str">
        <f t="shared" si="0"/>
        <v>182.5194</v>
      </c>
      <c r="F14" s="4" t="str">
        <f t="shared" si="1"/>
        <v>95.7187</v>
      </c>
      <c r="G14" s="4">
        <f t="shared" si="2"/>
        <v>-82.5</v>
      </c>
      <c r="H14" s="2">
        <f t="shared" si="3"/>
        <v>352.5</v>
      </c>
    </row>
    <row r="15" spans="1:8" ht="15.75" thickBot="1" x14ac:dyDescent="0.25">
      <c r="A15" s="6">
        <v>13</v>
      </c>
      <c r="B15" s="6" t="s">
        <v>98</v>
      </c>
      <c r="C15" s="6" t="s">
        <v>184</v>
      </c>
      <c r="D15" s="6" t="s">
        <v>27</v>
      </c>
      <c r="E15" s="4" t="str">
        <f t="shared" si="0"/>
        <v>182.8000</v>
      </c>
      <c r="F15" s="4" t="str">
        <f t="shared" si="1"/>
        <v>100.0000</v>
      </c>
      <c r="G15" s="4">
        <f t="shared" si="2"/>
        <v>-90</v>
      </c>
      <c r="H15" s="2">
        <f t="shared" si="3"/>
        <v>360</v>
      </c>
    </row>
    <row r="16" spans="1:8" ht="15.75" thickBot="1" x14ac:dyDescent="0.25">
      <c r="A16" s="6">
        <v>14</v>
      </c>
      <c r="B16" s="6" t="s">
        <v>185</v>
      </c>
      <c r="C16" s="6" t="s">
        <v>182</v>
      </c>
      <c r="D16" s="6" t="s">
        <v>186</v>
      </c>
      <c r="E16" s="4" t="str">
        <f t="shared" si="0"/>
        <v>182.5194</v>
      </c>
      <c r="F16" s="4" t="str">
        <f t="shared" si="1"/>
        <v>104.2813</v>
      </c>
      <c r="G16" s="4">
        <f t="shared" si="2"/>
        <v>-97.5</v>
      </c>
      <c r="H16" s="2">
        <f t="shared" si="3"/>
        <v>367.5</v>
      </c>
    </row>
    <row r="17" spans="1:8" ht="15.75" thickBot="1" x14ac:dyDescent="0.25">
      <c r="A17" s="6">
        <v>15</v>
      </c>
      <c r="B17" s="6" t="s">
        <v>187</v>
      </c>
      <c r="C17" s="6" t="s">
        <v>179</v>
      </c>
      <c r="D17" s="6" t="s">
        <v>188</v>
      </c>
      <c r="E17" s="4" t="str">
        <f t="shared" si="0"/>
        <v>181.6824</v>
      </c>
      <c r="F17" s="4" t="str">
        <f t="shared" si="1"/>
        <v>108.4893</v>
      </c>
      <c r="G17" s="4">
        <f t="shared" si="2"/>
        <v>-105</v>
      </c>
      <c r="H17" s="2">
        <f t="shared" si="3"/>
        <v>375</v>
      </c>
    </row>
    <row r="18" spans="1:8" ht="15.75" thickBot="1" x14ac:dyDescent="0.25">
      <c r="A18" s="6">
        <v>16</v>
      </c>
      <c r="B18" s="6" t="s">
        <v>189</v>
      </c>
      <c r="C18" s="6" t="s">
        <v>176</v>
      </c>
      <c r="D18" s="6" t="s">
        <v>190</v>
      </c>
      <c r="E18" s="4" t="str">
        <f t="shared" si="0"/>
        <v>180.3032</v>
      </c>
      <c r="F18" s="4" t="str">
        <f t="shared" si="1"/>
        <v>112.5520</v>
      </c>
      <c r="G18" s="4">
        <f t="shared" si="2"/>
        <v>-112.5</v>
      </c>
      <c r="H18" s="2">
        <f t="shared" si="3"/>
        <v>382.5</v>
      </c>
    </row>
    <row r="19" spans="1:8" ht="15.75" thickBot="1" x14ac:dyDescent="0.25">
      <c r="A19" s="6">
        <v>17</v>
      </c>
      <c r="B19" s="6" t="s">
        <v>191</v>
      </c>
      <c r="C19" s="6" t="s">
        <v>173</v>
      </c>
      <c r="D19" s="6" t="s">
        <v>192</v>
      </c>
      <c r="E19" s="4" t="str">
        <f t="shared" si="0"/>
        <v>178.4056</v>
      </c>
      <c r="F19" s="4" t="str">
        <f t="shared" si="1"/>
        <v>116.4000</v>
      </c>
      <c r="G19" s="4">
        <f t="shared" si="2"/>
        <v>-120</v>
      </c>
      <c r="H19" s="2">
        <f t="shared" si="3"/>
        <v>390</v>
      </c>
    </row>
    <row r="20" spans="1:8" ht="15.75" thickBot="1" x14ac:dyDescent="0.25">
      <c r="A20" s="6">
        <v>18</v>
      </c>
      <c r="B20" s="6" t="s">
        <v>193</v>
      </c>
      <c r="C20" s="6" t="s">
        <v>170</v>
      </c>
      <c r="D20" s="6" t="s">
        <v>194</v>
      </c>
      <c r="E20" s="4" t="str">
        <f t="shared" si="0"/>
        <v>176.0220</v>
      </c>
      <c r="F20" s="4" t="str">
        <f t="shared" si="1"/>
        <v>119.9674</v>
      </c>
      <c r="G20" s="4">
        <f t="shared" si="2"/>
        <v>-127.5</v>
      </c>
      <c r="H20" s="2">
        <f t="shared" si="3"/>
        <v>397.5</v>
      </c>
    </row>
    <row r="21" spans="1:8" ht="15.75" thickBot="1" x14ac:dyDescent="0.25">
      <c r="A21" s="6">
        <v>19</v>
      </c>
      <c r="B21" s="6" t="s">
        <v>108</v>
      </c>
      <c r="C21" s="6" t="s">
        <v>167</v>
      </c>
      <c r="D21" s="6" t="s">
        <v>195</v>
      </c>
      <c r="E21" s="4" t="str">
        <f t="shared" si="0"/>
        <v>173.1931</v>
      </c>
      <c r="F21" s="4" t="str">
        <f t="shared" si="1"/>
        <v>123.1931</v>
      </c>
      <c r="G21" s="4">
        <f t="shared" si="2"/>
        <v>-135</v>
      </c>
      <c r="H21" s="2">
        <f t="shared" si="3"/>
        <v>405</v>
      </c>
    </row>
    <row r="22" spans="1:8" ht="15.75" thickBot="1" x14ac:dyDescent="0.25">
      <c r="A22" s="6">
        <v>20</v>
      </c>
      <c r="B22" s="6" t="s">
        <v>196</v>
      </c>
      <c r="C22" s="6" t="s">
        <v>165</v>
      </c>
      <c r="D22" s="6" t="s">
        <v>197</v>
      </c>
      <c r="E22" s="4" t="str">
        <f t="shared" si="0"/>
        <v>169.9674</v>
      </c>
      <c r="F22" s="4" t="str">
        <f t="shared" si="1"/>
        <v>126.0220</v>
      </c>
      <c r="G22" s="4">
        <f t="shared" si="2"/>
        <v>-142.5</v>
      </c>
      <c r="H22" s="2">
        <f t="shared" si="3"/>
        <v>412.5</v>
      </c>
    </row>
    <row r="23" spans="1:8" ht="15.75" thickBot="1" x14ac:dyDescent="0.25">
      <c r="A23" s="6">
        <v>21</v>
      </c>
      <c r="B23" s="6" t="s">
        <v>198</v>
      </c>
      <c r="C23" s="6" t="s">
        <v>162</v>
      </c>
      <c r="D23" s="6" t="s">
        <v>199</v>
      </c>
      <c r="E23" s="4" t="str">
        <f t="shared" si="0"/>
        <v>166.4000</v>
      </c>
      <c r="F23" s="4" t="str">
        <f t="shared" si="1"/>
        <v>128.4056</v>
      </c>
      <c r="G23" s="4">
        <f t="shared" si="2"/>
        <v>-150</v>
      </c>
      <c r="H23" s="2">
        <f t="shared" si="3"/>
        <v>420</v>
      </c>
    </row>
    <row r="24" spans="1:8" ht="15.75" thickBot="1" x14ac:dyDescent="0.25">
      <c r="A24" s="6">
        <v>22</v>
      </c>
      <c r="B24" s="6" t="s">
        <v>200</v>
      </c>
      <c r="C24" s="6" t="s">
        <v>159</v>
      </c>
      <c r="D24" s="6" t="s">
        <v>201</v>
      </c>
      <c r="E24" s="4" t="str">
        <f t="shared" si="0"/>
        <v>162.5520</v>
      </c>
      <c r="F24" s="4" t="str">
        <f t="shared" si="1"/>
        <v>130.3032</v>
      </c>
      <c r="G24" s="4">
        <f t="shared" si="2"/>
        <v>-157.5</v>
      </c>
      <c r="H24" s="2">
        <f t="shared" si="3"/>
        <v>427.5</v>
      </c>
    </row>
    <row r="25" spans="1:8" ht="15.75" thickBot="1" x14ac:dyDescent="0.25">
      <c r="A25" s="6">
        <v>23</v>
      </c>
      <c r="B25" s="6" t="s">
        <v>202</v>
      </c>
      <c r="C25" s="6" t="s">
        <v>156</v>
      </c>
      <c r="D25" s="6" t="s">
        <v>203</v>
      </c>
      <c r="E25" s="4" t="str">
        <f t="shared" si="0"/>
        <v>158.4893</v>
      </c>
      <c r="F25" s="4" t="str">
        <f t="shared" si="1"/>
        <v>131.6824</v>
      </c>
      <c r="G25" s="4">
        <f t="shared" si="2"/>
        <v>-165</v>
      </c>
      <c r="H25" s="2">
        <f t="shared" si="3"/>
        <v>435</v>
      </c>
    </row>
    <row r="26" spans="1:8" ht="15.75" thickBot="1" x14ac:dyDescent="0.25">
      <c r="A26" s="6">
        <v>24</v>
      </c>
      <c r="B26" s="6" t="s">
        <v>204</v>
      </c>
      <c r="C26" s="6" t="s">
        <v>153</v>
      </c>
      <c r="D26" s="6" t="s">
        <v>205</v>
      </c>
      <c r="E26" s="4" t="str">
        <f t="shared" si="0"/>
        <v>154.2813</v>
      </c>
      <c r="F26" s="4" t="str">
        <f t="shared" si="1"/>
        <v>132.5194</v>
      </c>
      <c r="G26" s="4">
        <f t="shared" si="2"/>
        <v>-172.5</v>
      </c>
      <c r="H26" s="2">
        <f t="shared" si="3"/>
        <v>442.5</v>
      </c>
    </row>
    <row r="27" spans="1:8" ht="15.75" thickBot="1" x14ac:dyDescent="0.25">
      <c r="A27" s="6">
        <v>25</v>
      </c>
      <c r="B27" s="6" t="s">
        <v>118</v>
      </c>
      <c r="C27" s="6" t="s">
        <v>2</v>
      </c>
      <c r="D27" s="6" t="s">
        <v>206</v>
      </c>
      <c r="E27" s="4" t="str">
        <f t="shared" si="0"/>
        <v>150.0000</v>
      </c>
      <c r="F27" s="4" t="str">
        <f t="shared" si="1"/>
        <v>132.8000</v>
      </c>
      <c r="G27" s="4">
        <f t="shared" si="2"/>
        <v>-180</v>
      </c>
      <c r="H27" s="2">
        <f t="shared" si="3"/>
        <v>450</v>
      </c>
    </row>
    <row r="28" spans="1:8" ht="15.75" thickBot="1" x14ac:dyDescent="0.25">
      <c r="A28" s="6">
        <v>26</v>
      </c>
      <c r="B28" s="6" t="s">
        <v>207</v>
      </c>
      <c r="C28" s="6" t="s">
        <v>208</v>
      </c>
      <c r="D28" s="6" t="s">
        <v>205</v>
      </c>
      <c r="E28" s="4" t="str">
        <f t="shared" si="0"/>
        <v>145.7187</v>
      </c>
      <c r="F28" s="4" t="str">
        <f t="shared" si="1"/>
        <v>132.5194</v>
      </c>
      <c r="G28" s="4">
        <f t="shared" si="2"/>
        <v>-187.5</v>
      </c>
      <c r="H28" s="2">
        <f t="shared" si="3"/>
        <v>457.5</v>
      </c>
    </row>
    <row r="29" spans="1:8" ht="15.75" thickBot="1" x14ac:dyDescent="0.25">
      <c r="A29" s="6">
        <v>27</v>
      </c>
      <c r="B29" s="6" t="s">
        <v>209</v>
      </c>
      <c r="C29" s="6" t="s">
        <v>210</v>
      </c>
      <c r="D29" s="6" t="s">
        <v>203</v>
      </c>
      <c r="E29" s="4" t="str">
        <f t="shared" si="0"/>
        <v>141.5107</v>
      </c>
      <c r="F29" s="4" t="str">
        <f t="shared" si="1"/>
        <v>131.6824</v>
      </c>
      <c r="G29" s="4">
        <f t="shared" si="2"/>
        <v>-195</v>
      </c>
      <c r="H29" s="2">
        <f t="shared" si="3"/>
        <v>465</v>
      </c>
    </row>
    <row r="30" spans="1:8" ht="15.75" thickBot="1" x14ac:dyDescent="0.25">
      <c r="A30" s="6">
        <v>28</v>
      </c>
      <c r="B30" s="6" t="s">
        <v>211</v>
      </c>
      <c r="C30" s="6" t="s">
        <v>212</v>
      </c>
      <c r="D30" s="6" t="s">
        <v>201</v>
      </c>
      <c r="E30" s="4" t="str">
        <f t="shared" si="0"/>
        <v>137.4480</v>
      </c>
      <c r="F30" s="4" t="str">
        <f t="shared" si="1"/>
        <v>130.3032</v>
      </c>
      <c r="G30" s="4">
        <f t="shared" si="2"/>
        <v>-202.5</v>
      </c>
      <c r="H30" s="2">
        <f t="shared" si="3"/>
        <v>472.5</v>
      </c>
    </row>
    <row r="31" spans="1:8" ht="15.75" thickBot="1" x14ac:dyDescent="0.25">
      <c r="A31" s="6">
        <v>29</v>
      </c>
      <c r="B31" s="6" t="s">
        <v>213</v>
      </c>
      <c r="C31" s="6" t="s">
        <v>214</v>
      </c>
      <c r="D31" s="6" t="s">
        <v>199</v>
      </c>
      <c r="E31" s="4" t="str">
        <f t="shared" si="0"/>
        <v>133.6000</v>
      </c>
      <c r="F31" s="4" t="str">
        <f t="shared" si="1"/>
        <v>128.4056</v>
      </c>
      <c r="G31" s="4">
        <f t="shared" si="2"/>
        <v>-210</v>
      </c>
      <c r="H31" s="2">
        <f t="shared" si="3"/>
        <v>480</v>
      </c>
    </row>
    <row r="32" spans="1:8" ht="15.75" thickBot="1" x14ac:dyDescent="0.25">
      <c r="A32" s="6">
        <v>30</v>
      </c>
      <c r="B32" s="6" t="s">
        <v>215</v>
      </c>
      <c r="C32" s="6" t="s">
        <v>216</v>
      </c>
      <c r="D32" s="6" t="s">
        <v>197</v>
      </c>
      <c r="E32" s="4" t="str">
        <f t="shared" si="0"/>
        <v>130.0326</v>
      </c>
      <c r="F32" s="4" t="str">
        <f t="shared" si="1"/>
        <v>126.0220</v>
      </c>
      <c r="G32" s="4">
        <f t="shared" si="2"/>
        <v>-217.5</v>
      </c>
      <c r="H32" s="2">
        <f t="shared" si="3"/>
        <v>487.5</v>
      </c>
    </row>
    <row r="33" spans="1:8" ht="15.75" thickBot="1" x14ac:dyDescent="0.25">
      <c r="A33" s="6">
        <v>31</v>
      </c>
      <c r="B33" s="6" t="s">
        <v>128</v>
      </c>
      <c r="C33" s="6" t="s">
        <v>217</v>
      </c>
      <c r="D33" s="6" t="s">
        <v>195</v>
      </c>
      <c r="E33" s="4" t="str">
        <f t="shared" si="0"/>
        <v>126.8069</v>
      </c>
      <c r="F33" s="4" t="str">
        <f t="shared" si="1"/>
        <v>123.1931</v>
      </c>
      <c r="G33" s="4">
        <f t="shared" si="2"/>
        <v>-225</v>
      </c>
      <c r="H33" s="2">
        <f t="shared" si="3"/>
        <v>495</v>
      </c>
    </row>
    <row r="34" spans="1:8" ht="15.75" thickBot="1" x14ac:dyDescent="0.25">
      <c r="A34" s="6">
        <v>32</v>
      </c>
      <c r="B34" s="6" t="s">
        <v>218</v>
      </c>
      <c r="C34" s="6" t="s">
        <v>219</v>
      </c>
      <c r="D34" s="6" t="s">
        <v>194</v>
      </c>
      <c r="E34" s="4" t="str">
        <f t="shared" si="0"/>
        <v>123.9780</v>
      </c>
      <c r="F34" s="4" t="str">
        <f t="shared" si="1"/>
        <v>119.9674</v>
      </c>
      <c r="G34" s="4">
        <f t="shared" si="2"/>
        <v>-232.5</v>
      </c>
      <c r="H34" s="2">
        <f t="shared" si="3"/>
        <v>502.5</v>
      </c>
    </row>
    <row r="35" spans="1:8" ht="15.75" thickBot="1" x14ac:dyDescent="0.25">
      <c r="A35" s="6">
        <v>33</v>
      </c>
      <c r="B35" s="6" t="s">
        <v>220</v>
      </c>
      <c r="C35" s="6" t="s">
        <v>221</v>
      </c>
      <c r="D35" s="6" t="s">
        <v>192</v>
      </c>
      <c r="E35" s="4" t="str">
        <f t="shared" si="0"/>
        <v>121.5944</v>
      </c>
      <c r="F35" s="4" t="str">
        <f t="shared" si="1"/>
        <v>116.4000</v>
      </c>
      <c r="G35" s="4">
        <f t="shared" si="2"/>
        <v>-240</v>
      </c>
      <c r="H35" s="2">
        <f t="shared" si="3"/>
        <v>510</v>
      </c>
    </row>
    <row r="36" spans="1:8" ht="15.75" thickBot="1" x14ac:dyDescent="0.25">
      <c r="A36" s="6">
        <v>34</v>
      </c>
      <c r="B36" s="6" t="s">
        <v>222</v>
      </c>
      <c r="C36" s="6" t="s">
        <v>223</v>
      </c>
      <c r="D36" s="6" t="s">
        <v>190</v>
      </c>
      <c r="E36" s="4" t="str">
        <f t="shared" si="0"/>
        <v>119.6968</v>
      </c>
      <c r="F36" s="4" t="str">
        <f t="shared" si="1"/>
        <v>112.5520</v>
      </c>
      <c r="G36" s="4">
        <f t="shared" si="2"/>
        <v>-247.5</v>
      </c>
      <c r="H36" s="2">
        <f t="shared" si="3"/>
        <v>517.5</v>
      </c>
    </row>
    <row r="37" spans="1:8" ht="15.75" thickBot="1" x14ac:dyDescent="0.25">
      <c r="A37" s="6">
        <v>35</v>
      </c>
      <c r="B37" s="6" t="s">
        <v>224</v>
      </c>
      <c r="C37" s="6" t="s">
        <v>225</v>
      </c>
      <c r="D37" s="6" t="s">
        <v>188</v>
      </c>
      <c r="E37" s="4" t="str">
        <f t="shared" si="0"/>
        <v>118.3176</v>
      </c>
      <c r="F37" s="4" t="str">
        <f t="shared" si="1"/>
        <v>108.4893</v>
      </c>
      <c r="G37" s="4">
        <f t="shared" si="2"/>
        <v>-255</v>
      </c>
      <c r="H37" s="2">
        <f t="shared" si="3"/>
        <v>525</v>
      </c>
    </row>
    <row r="38" spans="1:8" ht="15.75" thickBot="1" x14ac:dyDescent="0.25">
      <c r="A38" s="6">
        <v>36</v>
      </c>
      <c r="B38" s="6" t="s">
        <v>226</v>
      </c>
      <c r="C38" s="6" t="s">
        <v>227</v>
      </c>
      <c r="D38" s="6" t="s">
        <v>186</v>
      </c>
      <c r="E38" s="4" t="str">
        <f t="shared" si="0"/>
        <v>117.4806</v>
      </c>
      <c r="F38" s="4" t="str">
        <f t="shared" si="1"/>
        <v>104.2813</v>
      </c>
      <c r="G38" s="4">
        <f t="shared" si="2"/>
        <v>-262.5</v>
      </c>
      <c r="H38" s="2">
        <f t="shared" si="3"/>
        <v>532.5</v>
      </c>
    </row>
    <row r="39" spans="1:8" ht="15.75" thickBot="1" x14ac:dyDescent="0.25">
      <c r="A39" s="6">
        <v>37</v>
      </c>
      <c r="B39" s="6" t="s">
        <v>138</v>
      </c>
      <c r="C39" s="6" t="s">
        <v>228</v>
      </c>
      <c r="D39" s="6" t="s">
        <v>27</v>
      </c>
      <c r="E39" s="4" t="str">
        <f t="shared" si="0"/>
        <v>117.2000</v>
      </c>
      <c r="F39" s="4" t="str">
        <f t="shared" si="1"/>
        <v>100.0000</v>
      </c>
      <c r="G39" s="4">
        <f t="shared" si="2"/>
        <v>-270</v>
      </c>
      <c r="H39" s="2">
        <f t="shared" si="3"/>
        <v>540</v>
      </c>
    </row>
    <row r="40" spans="1:8" ht="15.75" thickBot="1" x14ac:dyDescent="0.25">
      <c r="A40" s="6">
        <v>38</v>
      </c>
      <c r="B40" s="6" t="s">
        <v>229</v>
      </c>
      <c r="C40" s="6" t="s">
        <v>227</v>
      </c>
      <c r="D40" s="6" t="s">
        <v>183</v>
      </c>
      <c r="E40" s="4" t="str">
        <f t="shared" si="0"/>
        <v>117.4806</v>
      </c>
      <c r="F40" s="4" t="str">
        <f t="shared" si="1"/>
        <v>95.7187</v>
      </c>
      <c r="G40" s="4">
        <f t="shared" si="2"/>
        <v>-277.5</v>
      </c>
      <c r="H40" s="2">
        <f t="shared" si="3"/>
        <v>547.5</v>
      </c>
    </row>
    <row r="41" spans="1:8" ht="15.75" thickBot="1" x14ac:dyDescent="0.25">
      <c r="A41" s="6">
        <v>39</v>
      </c>
      <c r="B41" s="6" t="s">
        <v>230</v>
      </c>
      <c r="C41" s="6" t="s">
        <v>225</v>
      </c>
      <c r="D41" s="6" t="s">
        <v>180</v>
      </c>
      <c r="E41" s="4" t="str">
        <f t="shared" si="0"/>
        <v>118.3176</v>
      </c>
      <c r="F41" s="4" t="str">
        <f t="shared" si="1"/>
        <v>91.5107</v>
      </c>
      <c r="G41" s="4">
        <f t="shared" si="2"/>
        <v>-285</v>
      </c>
      <c r="H41" s="2">
        <f t="shared" si="3"/>
        <v>555</v>
      </c>
    </row>
    <row r="42" spans="1:8" ht="15.75" thickBot="1" x14ac:dyDescent="0.25">
      <c r="A42" s="6">
        <v>40</v>
      </c>
      <c r="B42" s="6" t="s">
        <v>231</v>
      </c>
      <c r="C42" s="6" t="s">
        <v>223</v>
      </c>
      <c r="D42" s="6" t="s">
        <v>177</v>
      </c>
      <c r="E42" s="4" t="str">
        <f t="shared" si="0"/>
        <v>119.6968</v>
      </c>
      <c r="F42" s="4" t="str">
        <f t="shared" si="1"/>
        <v>87.4480</v>
      </c>
      <c r="G42" s="4">
        <f t="shared" si="2"/>
        <v>-292.5</v>
      </c>
      <c r="H42" s="2">
        <f t="shared" si="3"/>
        <v>562.5</v>
      </c>
    </row>
    <row r="43" spans="1:8" ht="15.75" thickBot="1" x14ac:dyDescent="0.25">
      <c r="A43" s="6">
        <v>41</v>
      </c>
      <c r="B43" s="6" t="s">
        <v>232</v>
      </c>
      <c r="C43" s="6" t="s">
        <v>221</v>
      </c>
      <c r="D43" s="6" t="s">
        <v>174</v>
      </c>
      <c r="E43" s="4" t="str">
        <f t="shared" si="0"/>
        <v>121.5944</v>
      </c>
      <c r="F43" s="4" t="str">
        <f t="shared" si="1"/>
        <v>83.6000</v>
      </c>
      <c r="G43" s="4">
        <f t="shared" si="2"/>
        <v>-300</v>
      </c>
      <c r="H43" s="2">
        <f t="shared" ref="H43:H50" si="4">$H$1-G43</f>
        <v>570</v>
      </c>
    </row>
    <row r="44" spans="1:8" ht="15.75" thickBot="1" x14ac:dyDescent="0.25">
      <c r="A44" s="6">
        <v>42</v>
      </c>
      <c r="B44" s="6" t="s">
        <v>233</v>
      </c>
      <c r="C44" s="6" t="s">
        <v>219</v>
      </c>
      <c r="D44" s="6" t="s">
        <v>171</v>
      </c>
      <c r="E44" s="4" t="str">
        <f t="shared" si="0"/>
        <v>123.9780</v>
      </c>
      <c r="F44" s="4" t="str">
        <f t="shared" si="1"/>
        <v>80.0326</v>
      </c>
      <c r="G44" s="4">
        <f t="shared" si="2"/>
        <v>-307.5</v>
      </c>
      <c r="H44" s="2">
        <f t="shared" si="4"/>
        <v>577.5</v>
      </c>
    </row>
    <row r="45" spans="1:8" ht="15.75" thickBot="1" x14ac:dyDescent="0.25">
      <c r="A45" s="6">
        <v>43</v>
      </c>
      <c r="B45" s="6" t="s">
        <v>144</v>
      </c>
      <c r="C45" s="6" t="s">
        <v>217</v>
      </c>
      <c r="D45" s="6" t="s">
        <v>168</v>
      </c>
      <c r="E45" s="4" t="str">
        <f t="shared" si="0"/>
        <v>126.8069</v>
      </c>
      <c r="F45" s="4" t="str">
        <f t="shared" si="1"/>
        <v>76.8069</v>
      </c>
      <c r="G45" s="4">
        <f t="shared" si="2"/>
        <v>-315</v>
      </c>
      <c r="H45" s="2">
        <f t="shared" si="4"/>
        <v>585</v>
      </c>
    </row>
    <row r="46" spans="1:8" ht="15.75" thickBot="1" x14ac:dyDescent="0.25">
      <c r="A46" s="6">
        <v>44</v>
      </c>
      <c r="B46" s="6" t="s">
        <v>234</v>
      </c>
      <c r="C46" s="6" t="s">
        <v>216</v>
      </c>
      <c r="D46" s="6" t="s">
        <v>166</v>
      </c>
      <c r="E46" s="4" t="str">
        <f t="shared" si="0"/>
        <v>130.0326</v>
      </c>
      <c r="F46" s="4" t="str">
        <f t="shared" si="1"/>
        <v>73.9780</v>
      </c>
      <c r="G46" s="4">
        <f t="shared" si="2"/>
        <v>-322.5</v>
      </c>
      <c r="H46" s="2">
        <f t="shared" si="4"/>
        <v>592.5</v>
      </c>
    </row>
    <row r="47" spans="1:8" ht="15.75" thickBot="1" x14ac:dyDescent="0.25">
      <c r="A47" s="6">
        <v>45</v>
      </c>
      <c r="B47" s="6" t="s">
        <v>235</v>
      </c>
      <c r="C47" s="6" t="s">
        <v>214</v>
      </c>
      <c r="D47" s="6" t="s">
        <v>163</v>
      </c>
      <c r="E47" s="4" t="str">
        <f t="shared" si="0"/>
        <v>133.6000</v>
      </c>
      <c r="F47" s="4" t="str">
        <f t="shared" si="1"/>
        <v>71.5944</v>
      </c>
      <c r="G47" s="4">
        <f t="shared" si="2"/>
        <v>-330</v>
      </c>
      <c r="H47" s="2">
        <f t="shared" si="4"/>
        <v>600</v>
      </c>
    </row>
    <row r="48" spans="1:8" ht="15.75" thickBot="1" x14ac:dyDescent="0.25">
      <c r="A48" s="6">
        <v>46</v>
      </c>
      <c r="B48" s="6" t="s">
        <v>236</v>
      </c>
      <c r="C48" s="6" t="s">
        <v>212</v>
      </c>
      <c r="D48" s="6" t="s">
        <v>160</v>
      </c>
      <c r="E48" s="4" t="str">
        <f t="shared" si="0"/>
        <v>137.4480</v>
      </c>
      <c r="F48" s="4" t="str">
        <f t="shared" si="1"/>
        <v>69.6968</v>
      </c>
      <c r="G48" s="4">
        <f t="shared" si="2"/>
        <v>-337.5</v>
      </c>
      <c r="H48" s="2">
        <f t="shared" si="4"/>
        <v>607.5</v>
      </c>
    </row>
    <row r="49" spans="1:8" ht="15.75" thickBot="1" x14ac:dyDescent="0.25">
      <c r="A49" s="6">
        <v>47</v>
      </c>
      <c r="B49" s="6" t="s">
        <v>237</v>
      </c>
      <c r="C49" s="6" t="s">
        <v>210</v>
      </c>
      <c r="D49" s="6" t="s">
        <v>157</v>
      </c>
      <c r="E49" s="4" t="str">
        <f t="shared" si="0"/>
        <v>141.5107</v>
      </c>
      <c r="F49" s="4" t="str">
        <f t="shared" si="1"/>
        <v>68.3176</v>
      </c>
      <c r="G49" s="4">
        <f t="shared" si="2"/>
        <v>-345</v>
      </c>
      <c r="H49" s="2">
        <f t="shared" si="4"/>
        <v>615</v>
      </c>
    </row>
    <row r="50" spans="1:8" ht="15.75" thickBot="1" x14ac:dyDescent="0.25">
      <c r="A50" s="6">
        <v>48</v>
      </c>
      <c r="B50" s="6" t="s">
        <v>238</v>
      </c>
      <c r="C50" s="6" t="s">
        <v>208</v>
      </c>
      <c r="D50" s="6" t="s">
        <v>154</v>
      </c>
      <c r="E50" s="4" t="str">
        <f t="shared" si="0"/>
        <v>145.7187</v>
      </c>
      <c r="F50" s="4" t="str">
        <f t="shared" si="1"/>
        <v>67.4806</v>
      </c>
      <c r="G50" s="4">
        <f t="shared" si="2"/>
        <v>-352.5</v>
      </c>
      <c r="H50" s="2">
        <f t="shared" si="4"/>
        <v>622.5</v>
      </c>
    </row>
    <row r="58" spans="1:8" ht="15.75" thickBot="1" x14ac:dyDescent="0.25"/>
    <row r="59" spans="1:8" ht="15.75" thickBot="1" x14ac:dyDescent="0.25">
      <c r="A59" s="6">
        <v>1</v>
      </c>
      <c r="B59" s="6" t="s">
        <v>284</v>
      </c>
      <c r="C59" s="6" t="s">
        <v>285</v>
      </c>
      <c r="D59" s="6" t="s">
        <v>286</v>
      </c>
      <c r="E59" s="4" t="str">
        <f t="shared" ref="E59" si="5">MID(C59,5,10)</f>
        <v>161.6287</v>
      </c>
      <c r="F59" s="4" t="str">
        <f t="shared" ref="F59" si="6">MID(D59,5,10)</f>
        <v>68.0505</v>
      </c>
    </row>
    <row r="60" spans="1:8" ht="15.75" thickBot="1" x14ac:dyDescent="0.25">
      <c r="A60" s="6">
        <v>2</v>
      </c>
      <c r="B60" s="6" t="s">
        <v>287</v>
      </c>
      <c r="C60" s="6" t="s">
        <v>288</v>
      </c>
      <c r="D60" s="6" t="s">
        <v>289</v>
      </c>
      <c r="E60" s="4" t="str">
        <f t="shared" ref="E60:E70" si="7">MID(C60,5,10)</f>
        <v>176.0455</v>
      </c>
      <c r="F60" s="4" t="str">
        <f t="shared" ref="F60:F70" si="8">MID(D60,5,10)</f>
        <v>78.1452</v>
      </c>
    </row>
    <row r="61" spans="1:8" ht="15.75" thickBot="1" x14ac:dyDescent="0.25">
      <c r="A61" s="6">
        <v>3</v>
      </c>
      <c r="B61" s="6" t="s">
        <v>290</v>
      </c>
      <c r="C61" s="6" t="s">
        <v>291</v>
      </c>
      <c r="D61" s="6" t="s">
        <v>292</v>
      </c>
      <c r="E61" s="4" t="str">
        <f t="shared" si="7"/>
        <v>183.4835</v>
      </c>
      <c r="F61" s="4" t="str">
        <f t="shared" si="8"/>
        <v>94.0960</v>
      </c>
    </row>
    <row r="62" spans="1:8" ht="15.75" thickBot="1" x14ac:dyDescent="0.25">
      <c r="A62" s="6">
        <v>4</v>
      </c>
      <c r="B62" s="6" t="s">
        <v>293</v>
      </c>
      <c r="C62" s="6" t="s">
        <v>294</v>
      </c>
      <c r="D62" s="6" t="s">
        <v>295</v>
      </c>
      <c r="E62" s="4" t="str">
        <f t="shared" si="7"/>
        <v>181.9495</v>
      </c>
      <c r="F62" s="4" t="str">
        <f t="shared" si="8"/>
        <v>111.6287</v>
      </c>
    </row>
    <row r="63" spans="1:8" ht="15.75" thickBot="1" x14ac:dyDescent="0.25">
      <c r="A63" s="6">
        <v>5</v>
      </c>
      <c r="B63" s="6" t="s">
        <v>296</v>
      </c>
      <c r="C63" s="6" t="s">
        <v>297</v>
      </c>
      <c r="D63" s="6" t="s">
        <v>298</v>
      </c>
      <c r="E63" s="4" t="str">
        <f t="shared" si="7"/>
        <v>171.8548</v>
      </c>
      <c r="F63" s="4" t="str">
        <f t="shared" si="8"/>
        <v>126.0455</v>
      </c>
    </row>
    <row r="64" spans="1:8" ht="15.75" thickBot="1" x14ac:dyDescent="0.25">
      <c r="A64" s="6">
        <v>6</v>
      </c>
      <c r="B64" s="6" t="s">
        <v>299</v>
      </c>
      <c r="C64" s="6" t="s">
        <v>300</v>
      </c>
      <c r="D64" s="6" t="s">
        <v>301</v>
      </c>
      <c r="E64" s="4" t="str">
        <f t="shared" si="7"/>
        <v>155.9040</v>
      </c>
      <c r="F64" s="4" t="str">
        <f t="shared" si="8"/>
        <v>133.4835</v>
      </c>
    </row>
    <row r="65" spans="1:6" ht="15.75" thickBot="1" x14ac:dyDescent="0.25">
      <c r="A65" s="6">
        <v>7</v>
      </c>
      <c r="B65" s="6" t="s">
        <v>302</v>
      </c>
      <c r="C65" s="6" t="s">
        <v>303</v>
      </c>
      <c r="D65" s="6" t="s">
        <v>304</v>
      </c>
      <c r="E65" s="4" t="str">
        <f t="shared" si="7"/>
        <v>138.3713</v>
      </c>
      <c r="F65" s="4" t="str">
        <f t="shared" si="8"/>
        <v>131.9495</v>
      </c>
    </row>
    <row r="66" spans="1:6" ht="15.75" thickBot="1" x14ac:dyDescent="0.25">
      <c r="A66" s="6">
        <v>8</v>
      </c>
      <c r="B66" s="6" t="s">
        <v>305</v>
      </c>
      <c r="C66" s="6" t="s">
        <v>306</v>
      </c>
      <c r="D66" s="6" t="s">
        <v>307</v>
      </c>
      <c r="E66" s="4" t="str">
        <f t="shared" si="7"/>
        <v>123.9545</v>
      </c>
      <c r="F66" s="4" t="str">
        <f t="shared" si="8"/>
        <v>121.8548</v>
      </c>
    </row>
    <row r="67" spans="1:6" ht="15.75" thickBot="1" x14ac:dyDescent="0.25">
      <c r="A67" s="6">
        <v>9</v>
      </c>
      <c r="B67" s="6" t="s">
        <v>308</v>
      </c>
      <c r="C67" s="6" t="s">
        <v>309</v>
      </c>
      <c r="D67" s="6" t="s">
        <v>310</v>
      </c>
      <c r="E67" s="4" t="str">
        <f t="shared" si="7"/>
        <v>116.5165</v>
      </c>
      <c r="F67" s="4" t="str">
        <f t="shared" si="8"/>
        <v>105.9040</v>
      </c>
    </row>
    <row r="68" spans="1:6" ht="15.75" thickBot="1" x14ac:dyDescent="0.25">
      <c r="A68" s="6">
        <v>10</v>
      </c>
      <c r="B68" s="6" t="s">
        <v>311</v>
      </c>
      <c r="C68" s="6" t="s">
        <v>312</v>
      </c>
      <c r="D68" s="6" t="s">
        <v>313</v>
      </c>
      <c r="E68" s="4" t="str">
        <f t="shared" si="7"/>
        <v>118.0505</v>
      </c>
      <c r="F68" s="4" t="str">
        <f t="shared" si="8"/>
        <v>88.3713</v>
      </c>
    </row>
    <row r="69" spans="1:6" ht="15.75" thickBot="1" x14ac:dyDescent="0.25">
      <c r="A69" s="6">
        <v>11</v>
      </c>
      <c r="B69" s="6" t="s">
        <v>314</v>
      </c>
      <c r="C69" s="6" t="s">
        <v>315</v>
      </c>
      <c r="D69" s="6" t="s">
        <v>316</v>
      </c>
      <c r="E69" s="4" t="str">
        <f t="shared" si="7"/>
        <v>128.1452</v>
      </c>
      <c r="F69" s="4" t="str">
        <f t="shared" si="8"/>
        <v>73.9545</v>
      </c>
    </row>
    <row r="70" spans="1:6" ht="15.75" thickBot="1" x14ac:dyDescent="0.25">
      <c r="A70" s="6">
        <v>12</v>
      </c>
      <c r="B70" s="6" t="s">
        <v>317</v>
      </c>
      <c r="C70" s="6" t="s">
        <v>318</v>
      </c>
      <c r="D70" s="6" t="s">
        <v>319</v>
      </c>
      <c r="E70" s="4" t="str">
        <f t="shared" si="7"/>
        <v>144.0960</v>
      </c>
      <c r="F70" s="4" t="str">
        <f t="shared" si="8"/>
        <v>66.516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2" sqref="H2"/>
    </sheetView>
  </sheetViews>
  <sheetFormatPr baseColWidth="10" defaultRowHeight="15" x14ac:dyDescent="0.25"/>
  <sheetData>
    <row r="1" spans="1:8" x14ac:dyDescent="0.25">
      <c r="A1" t="s">
        <v>149</v>
      </c>
      <c r="F1">
        <v>32</v>
      </c>
      <c r="G1">
        <v>40</v>
      </c>
      <c r="H1">
        <v>48</v>
      </c>
    </row>
    <row r="2" spans="1:8" x14ac:dyDescent="0.25">
      <c r="A2" t="s">
        <v>150</v>
      </c>
      <c r="B2">
        <v>23.2</v>
      </c>
      <c r="C2">
        <v>28</v>
      </c>
      <c r="D2">
        <v>32.799999999999997</v>
      </c>
    </row>
    <row r="3" spans="1:8" x14ac:dyDescent="0.25">
      <c r="B3">
        <v>2</v>
      </c>
      <c r="C3">
        <v>2</v>
      </c>
      <c r="D3">
        <v>2</v>
      </c>
    </row>
    <row r="7" spans="1:8" x14ac:dyDescent="0.25">
      <c r="B7">
        <f>B3*B2*PI()</f>
        <v>145.7698991265664</v>
      </c>
      <c r="C7">
        <f>C3*C2*PI()</f>
        <v>175.92918860102841</v>
      </c>
      <c r="D7">
        <f>D3*D2*PI()</f>
        <v>206.0884780754904</v>
      </c>
      <c r="F7">
        <f>B7/F1</f>
        <v>4.5553093477052</v>
      </c>
      <c r="G7">
        <f>C7/G1</f>
        <v>4.3982297150257104</v>
      </c>
      <c r="H7">
        <f>D7/H1</f>
        <v>4.29350995990605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L16"/>
  <sheetViews>
    <sheetView tabSelected="1" workbookViewId="0">
      <selection activeCell="I8" sqref="I8"/>
    </sheetView>
  </sheetViews>
  <sheetFormatPr baseColWidth="10" defaultRowHeight="15" x14ac:dyDescent="0.25"/>
  <sheetData>
    <row r="1" spans="1:12" ht="16.5" thickBot="1" x14ac:dyDescent="0.3">
      <c r="A1" s="6">
        <v>1</v>
      </c>
      <c r="B1" s="6" t="s">
        <v>98</v>
      </c>
      <c r="C1" s="6" t="s">
        <v>331</v>
      </c>
      <c r="D1" s="6" t="s">
        <v>27</v>
      </c>
      <c r="E1" s="4" t="str">
        <f>MID(C1,5,10)</f>
        <v>176.0000</v>
      </c>
      <c r="F1" s="4" t="str">
        <f>MID(D1,5,10)</f>
        <v>100.0000</v>
      </c>
    </row>
    <row r="2" spans="1:12" ht="16.5" thickBot="1" x14ac:dyDescent="0.3">
      <c r="A2" s="6">
        <v>2</v>
      </c>
      <c r="B2" s="6" t="s">
        <v>189</v>
      </c>
      <c r="C2" s="6" t="s">
        <v>332</v>
      </c>
      <c r="D2" s="6" t="s">
        <v>333</v>
      </c>
      <c r="E2" s="4" t="str">
        <f t="shared" ref="E2:E16" si="0">MID(C2,5,10)</f>
        <v>174.0209</v>
      </c>
      <c r="F2" s="4" t="str">
        <f t="shared" ref="F2:F16" si="1">MID(D2,5,10)</f>
        <v>109.9498</v>
      </c>
    </row>
    <row r="3" spans="1:12" ht="16.5" thickBot="1" x14ac:dyDescent="0.3">
      <c r="A3" s="6">
        <v>3</v>
      </c>
      <c r="B3" s="6" t="s">
        <v>108</v>
      </c>
      <c r="C3" s="6" t="s">
        <v>334</v>
      </c>
      <c r="D3" s="6" t="s">
        <v>335</v>
      </c>
      <c r="E3" s="4" t="str">
        <f t="shared" si="0"/>
        <v>168.3848</v>
      </c>
      <c r="F3" s="4" t="str">
        <f t="shared" si="1"/>
        <v>118.3848</v>
      </c>
    </row>
    <row r="4" spans="1:12" ht="30.75" thickBot="1" x14ac:dyDescent="0.4">
      <c r="A4" s="6">
        <v>4</v>
      </c>
      <c r="B4" s="6" t="s">
        <v>200</v>
      </c>
      <c r="C4" s="6" t="s">
        <v>336</v>
      </c>
      <c r="D4" s="6" t="s">
        <v>337</v>
      </c>
      <c r="E4" s="4" t="str">
        <f t="shared" si="0"/>
        <v>159.9498</v>
      </c>
      <c r="F4" s="4" t="str">
        <f t="shared" si="1"/>
        <v>124.0209</v>
      </c>
      <c r="K4" s="7" t="s">
        <v>320</v>
      </c>
      <c r="L4" s="6" t="s">
        <v>321</v>
      </c>
    </row>
    <row r="5" spans="1:12" ht="30.75" thickBot="1" x14ac:dyDescent="0.4">
      <c r="A5" s="6">
        <v>5</v>
      </c>
      <c r="B5" s="6" t="s">
        <v>118</v>
      </c>
      <c r="C5" s="6" t="s">
        <v>2</v>
      </c>
      <c r="D5" s="6" t="s">
        <v>338</v>
      </c>
      <c r="E5" s="4" t="str">
        <f t="shared" si="0"/>
        <v>150.0000</v>
      </c>
      <c r="F5" s="4" t="str">
        <f t="shared" si="1"/>
        <v>126.0000</v>
      </c>
      <c r="K5" s="7" t="s">
        <v>322</v>
      </c>
      <c r="L5" s="6" t="s">
        <v>323</v>
      </c>
    </row>
    <row r="6" spans="1:12" ht="30.75" thickBot="1" x14ac:dyDescent="0.4">
      <c r="A6" s="6">
        <v>6</v>
      </c>
      <c r="B6" s="6" t="s">
        <v>211</v>
      </c>
      <c r="C6" s="6" t="s">
        <v>339</v>
      </c>
      <c r="D6" s="6" t="s">
        <v>337</v>
      </c>
      <c r="E6" s="4" t="str">
        <f t="shared" si="0"/>
        <v>140.0502</v>
      </c>
      <c r="F6" s="4" t="str">
        <f t="shared" si="1"/>
        <v>124.0209</v>
      </c>
      <c r="K6" s="7" t="s">
        <v>324</v>
      </c>
      <c r="L6" s="6" t="s">
        <v>325</v>
      </c>
    </row>
    <row r="7" spans="1:12" ht="30.75" thickBot="1" x14ac:dyDescent="0.4">
      <c r="A7" s="6">
        <v>7</v>
      </c>
      <c r="B7" s="6" t="s">
        <v>128</v>
      </c>
      <c r="C7" s="6" t="s">
        <v>340</v>
      </c>
      <c r="D7" s="6" t="s">
        <v>335</v>
      </c>
      <c r="E7" s="4" t="str">
        <f t="shared" si="0"/>
        <v>131.6152</v>
      </c>
      <c r="F7" s="4" t="str">
        <f t="shared" si="1"/>
        <v>118.3848</v>
      </c>
      <c r="K7" s="7" t="s">
        <v>326</v>
      </c>
      <c r="L7" s="6" t="s">
        <v>327</v>
      </c>
    </row>
    <row r="8" spans="1:12" ht="30.75" thickBot="1" x14ac:dyDescent="0.4">
      <c r="A8" s="6">
        <v>8</v>
      </c>
      <c r="B8" s="6" t="s">
        <v>222</v>
      </c>
      <c r="C8" s="6" t="s">
        <v>341</v>
      </c>
      <c r="D8" s="6" t="s">
        <v>333</v>
      </c>
      <c r="E8" s="4" t="str">
        <f t="shared" si="0"/>
        <v>125.9791</v>
      </c>
      <c r="F8" s="4" t="str">
        <f t="shared" si="1"/>
        <v>109.9498</v>
      </c>
      <c r="K8" s="7" t="s">
        <v>328</v>
      </c>
      <c r="L8" s="6" t="s">
        <v>329</v>
      </c>
    </row>
    <row r="9" spans="1:12" ht="16.5" thickBot="1" x14ac:dyDescent="0.3">
      <c r="A9" s="6">
        <v>9</v>
      </c>
      <c r="B9" s="6" t="s">
        <v>138</v>
      </c>
      <c r="C9" s="6" t="s">
        <v>342</v>
      </c>
      <c r="D9" s="6" t="s">
        <v>27</v>
      </c>
      <c r="E9" s="4" t="str">
        <f t="shared" si="0"/>
        <v>124.0000</v>
      </c>
      <c r="F9" s="4" t="str">
        <f t="shared" si="1"/>
        <v>100.0000</v>
      </c>
      <c r="K9" s="8" t="s">
        <v>330</v>
      </c>
      <c r="L9" s="9"/>
    </row>
    <row r="10" spans="1:12" ht="16.5" thickBot="1" x14ac:dyDescent="0.3">
      <c r="A10" s="6">
        <v>10</v>
      </c>
      <c r="B10" s="6" t="s">
        <v>231</v>
      </c>
      <c r="C10" s="6" t="s">
        <v>341</v>
      </c>
      <c r="D10" s="6" t="s">
        <v>343</v>
      </c>
      <c r="E10" s="4" t="str">
        <f t="shared" si="0"/>
        <v>125.9791</v>
      </c>
      <c r="F10" s="4" t="str">
        <f t="shared" si="1"/>
        <v>90.0502</v>
      </c>
    </row>
    <row r="11" spans="1:12" ht="16.5" thickBot="1" x14ac:dyDescent="0.3">
      <c r="A11" s="6">
        <v>11</v>
      </c>
      <c r="B11" s="6" t="s">
        <v>144</v>
      </c>
      <c r="C11" s="6" t="s">
        <v>340</v>
      </c>
      <c r="D11" s="6" t="s">
        <v>344</v>
      </c>
      <c r="E11" s="4" t="str">
        <f t="shared" si="0"/>
        <v>131.6152</v>
      </c>
      <c r="F11" s="4" t="str">
        <f t="shared" si="1"/>
        <v>81.6152</v>
      </c>
    </row>
    <row r="12" spans="1:12" ht="16.5" thickBot="1" x14ac:dyDescent="0.3">
      <c r="A12" s="6">
        <v>12</v>
      </c>
      <c r="B12" s="6" t="s">
        <v>236</v>
      </c>
      <c r="C12" s="6" t="s">
        <v>339</v>
      </c>
      <c r="D12" s="6" t="s">
        <v>345</v>
      </c>
      <c r="E12" s="4" t="str">
        <f t="shared" si="0"/>
        <v>140.0502</v>
      </c>
      <c r="F12" s="4" t="str">
        <f t="shared" si="1"/>
        <v>75.9791</v>
      </c>
    </row>
    <row r="13" spans="1:12" ht="16.5" thickBot="1" x14ac:dyDescent="0.3">
      <c r="A13" s="6">
        <v>13</v>
      </c>
      <c r="B13" s="6" t="s">
        <v>1</v>
      </c>
      <c r="C13" s="6" t="s">
        <v>2</v>
      </c>
      <c r="D13" s="6" t="s">
        <v>346</v>
      </c>
      <c r="E13" s="4" t="str">
        <f t="shared" si="0"/>
        <v>150.0000</v>
      </c>
      <c r="F13" s="4" t="str">
        <f t="shared" si="1"/>
        <v>74.0000</v>
      </c>
    </row>
    <row r="14" spans="1:12" ht="16.5" thickBot="1" x14ac:dyDescent="0.3">
      <c r="A14" s="6">
        <v>14</v>
      </c>
      <c r="B14" s="6" t="s">
        <v>7</v>
      </c>
      <c r="C14" s="6" t="s">
        <v>336</v>
      </c>
      <c r="D14" s="6" t="s">
        <v>345</v>
      </c>
      <c r="E14" s="4" t="str">
        <f t="shared" si="0"/>
        <v>159.9498</v>
      </c>
      <c r="F14" s="4" t="str">
        <f t="shared" si="1"/>
        <v>75.9791</v>
      </c>
    </row>
    <row r="15" spans="1:12" ht="16.5" thickBot="1" x14ac:dyDescent="0.3">
      <c r="A15" s="6">
        <v>15</v>
      </c>
      <c r="B15" s="6" t="s">
        <v>13</v>
      </c>
      <c r="C15" s="6" t="s">
        <v>334</v>
      </c>
      <c r="D15" s="6" t="s">
        <v>344</v>
      </c>
      <c r="E15" s="4" t="str">
        <f t="shared" si="0"/>
        <v>168.3848</v>
      </c>
      <c r="F15" s="4" t="str">
        <f t="shared" si="1"/>
        <v>81.6152</v>
      </c>
    </row>
    <row r="16" spans="1:12" ht="16.5" thickBot="1" x14ac:dyDescent="0.3">
      <c r="A16" s="6">
        <v>16</v>
      </c>
      <c r="B16" s="6" t="s">
        <v>19</v>
      </c>
      <c r="C16" s="6" t="s">
        <v>332</v>
      </c>
      <c r="D16" s="6" t="s">
        <v>343</v>
      </c>
      <c r="E16" s="4" t="str">
        <f t="shared" si="0"/>
        <v>174.0209</v>
      </c>
      <c r="F16" s="4" t="str">
        <f t="shared" si="1"/>
        <v>90.0502</v>
      </c>
    </row>
  </sheetData>
  <mergeCells count="1">
    <mergeCell ref="K9:L9"/>
  </mergeCells>
  <pageMargins left="0.7" right="0.7" top="0.78740157499999996" bottom="0.78740157499999996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32" r:id="rId4" name="Control 8">
          <controlPr defaultSize="0" r:id="rId5">
            <anchor moveWithCells="1">
              <from>
                <xdr:col>12</xdr:col>
                <xdr:colOff>0</xdr:colOff>
                <xdr:row>7</xdr:row>
                <xdr:rowOff>0</xdr:rowOff>
              </from>
              <to>
                <xdr:col>12</xdr:col>
                <xdr:colOff>381000</xdr:colOff>
                <xdr:row>7</xdr:row>
                <xdr:rowOff>228600</xdr:rowOff>
              </to>
            </anchor>
          </controlPr>
        </control>
      </mc:Choice>
      <mc:Fallback>
        <control shapeId="1032" r:id="rId4" name="Control 8"/>
      </mc:Fallback>
    </mc:AlternateContent>
    <mc:AlternateContent xmlns:mc="http://schemas.openxmlformats.org/markup-compatibility/2006">
      <mc:Choice Requires="x14">
        <control shapeId="1031" r:id="rId6" name="Control 7">
          <controlPr defaultSize="0" r:id="rId7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11</xdr:col>
                <xdr:colOff>295275</xdr:colOff>
                <xdr:row>7</xdr:row>
                <xdr:rowOff>228600</xdr:rowOff>
              </to>
            </anchor>
          </controlPr>
        </control>
      </mc:Choice>
      <mc:Fallback>
        <control shapeId="1031" r:id="rId6" name="Control 7"/>
      </mc:Fallback>
    </mc:AlternateContent>
    <mc:AlternateContent xmlns:mc="http://schemas.openxmlformats.org/markup-compatibility/2006">
      <mc:Choice Requires="x14">
        <control shapeId="1030" r:id="rId8" name="Control 6">
          <controlPr defaultSize="0" r:id="rId9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11</xdr:col>
                <xdr:colOff>295275</xdr:colOff>
                <xdr:row>6</xdr:row>
                <xdr:rowOff>228600</xdr:rowOff>
              </to>
            </anchor>
          </controlPr>
        </control>
      </mc:Choice>
      <mc:Fallback>
        <control shapeId="1030" r:id="rId8" name="Control 6"/>
      </mc:Fallback>
    </mc:AlternateContent>
    <mc:AlternateContent xmlns:mc="http://schemas.openxmlformats.org/markup-compatibility/2006">
      <mc:Choice Requires="x14">
        <control shapeId="1029" r:id="rId10" name="Control 5">
          <controlPr defaultSize="0" r:id="rId11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11</xdr:col>
                <xdr:colOff>295275</xdr:colOff>
                <xdr:row>5</xdr:row>
                <xdr:rowOff>228600</xdr:rowOff>
              </to>
            </anchor>
          </controlPr>
        </control>
      </mc:Choice>
      <mc:Fallback>
        <control shapeId="1029" r:id="rId10" name="Control 5"/>
      </mc:Fallback>
    </mc:AlternateContent>
    <mc:AlternateContent xmlns:mc="http://schemas.openxmlformats.org/markup-compatibility/2006">
      <mc:Choice Requires="x14">
        <control shapeId="1028" r:id="rId12" name="Control 4">
          <controlPr defaultSize="0" r:id="rId13">
            <anchor moveWithCells="1">
              <from>
                <xdr:col>12</xdr:col>
                <xdr:colOff>0</xdr:colOff>
                <xdr:row>4</xdr:row>
                <xdr:rowOff>0</xdr:rowOff>
              </from>
              <to>
                <xdr:col>12</xdr:col>
                <xdr:colOff>257175</xdr:colOff>
                <xdr:row>4</xdr:row>
                <xdr:rowOff>266700</xdr:rowOff>
              </to>
            </anchor>
          </controlPr>
        </control>
      </mc:Choice>
      <mc:Fallback>
        <control shapeId="1028" r:id="rId12" name="Control 4"/>
      </mc:Fallback>
    </mc:AlternateContent>
    <mc:AlternateContent xmlns:mc="http://schemas.openxmlformats.org/markup-compatibility/2006">
      <mc:Choice Requires="x14">
        <control shapeId="1027" r:id="rId14" name="Control 3">
          <controlPr defaultSize="0" r:id="rId15">
            <anchor moveWithCells="1">
              <from>
                <xdr:col>12</xdr:col>
                <xdr:colOff>0</xdr:colOff>
                <xdr:row>4</xdr:row>
                <xdr:rowOff>0</xdr:rowOff>
              </from>
              <to>
                <xdr:col>12</xdr:col>
                <xdr:colOff>257175</xdr:colOff>
                <xdr:row>4</xdr:row>
                <xdr:rowOff>266700</xdr:rowOff>
              </to>
            </anchor>
          </controlPr>
        </control>
      </mc:Choice>
      <mc:Fallback>
        <control shapeId="1027" r:id="rId14" name="Control 3"/>
      </mc:Fallback>
    </mc:AlternateContent>
    <mc:AlternateContent xmlns:mc="http://schemas.openxmlformats.org/markup-compatibility/2006">
      <mc:Choice Requires="x14">
        <control shapeId="1026" r:id="rId16" name="Control 2">
          <controlPr defaultSize="0" r:id="rId17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11</xdr:col>
                <xdr:colOff>295275</xdr:colOff>
                <xdr:row>4</xdr:row>
                <xdr:rowOff>228600</xdr:rowOff>
              </to>
            </anchor>
          </controlPr>
        </control>
      </mc:Choice>
      <mc:Fallback>
        <control shapeId="1026" r:id="rId16" name="Control 2"/>
      </mc:Fallback>
    </mc:AlternateContent>
    <mc:AlternateContent xmlns:mc="http://schemas.openxmlformats.org/markup-compatibility/2006">
      <mc:Choice Requires="x14">
        <control shapeId="1025" r:id="rId18" name="Control 1">
          <controlPr defaultSize="0" r:id="rId19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11</xdr:col>
                <xdr:colOff>295275</xdr:colOff>
                <xdr:row>3</xdr:row>
                <xdr:rowOff>228600</xdr:rowOff>
              </to>
            </anchor>
          </controlPr>
        </control>
      </mc:Choice>
      <mc:Fallback>
        <control shapeId="1025" r:id="rId18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Ring1</vt:lpstr>
      <vt:lpstr>Ring2</vt:lpstr>
      <vt:lpstr>Ring3</vt:lpstr>
      <vt:lpstr>Tabelle3</vt:lpstr>
      <vt:lpstr>Bogrungen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Strobel</dc:creator>
  <cp:lastModifiedBy>Micha Strobel</cp:lastModifiedBy>
  <dcterms:created xsi:type="dcterms:W3CDTF">2025-04-23T18:30:58Z</dcterms:created>
  <dcterms:modified xsi:type="dcterms:W3CDTF">2025-04-25T20:49:13Z</dcterms:modified>
</cp:coreProperties>
</file>